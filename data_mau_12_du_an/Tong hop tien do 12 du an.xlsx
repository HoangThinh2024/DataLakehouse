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BÁO CÁO\BAN TL-TK\2026\DỰ THẢO BIỂU MẪU\"/>
    </mc:Choice>
  </mc:AlternateContent>
  <xr:revisionPtr revIDLastSave="0" documentId="13_ncr:1_{BADD7DED-C743-4426-A105-F54AFF64A17F}" xr6:coauthVersionLast="47" xr6:coauthVersionMax="47" xr10:uidLastSave="{00000000-0000-0000-0000-000000000000}"/>
  <bookViews>
    <workbookView xWindow="-120" yWindow="-120" windowWidth="24240" windowHeight="13020" firstSheet="5" activeTab="11" xr2:uid="{FE85AB99-D1DC-4F8C-974A-30C1DBAE74C3}"/>
  </bookViews>
  <sheets>
    <sheet name="KDC Ninh Thủy" sheetId="2" r:id="rId1"/>
    <sheet name="KDC Ninh Long" sheetId="1" r:id="rId2"/>
    <sheet name="Đông Bắc Ninh Hòa" sheetId="3" r:id="rId3"/>
    <sheet name="Nam Vân Phong" sheetId="4" r:id="rId4"/>
    <sheet name="Bắc Ninh Hòa" sheetId="5" r:id="rId5"/>
    <sheet name="KCN Ninh Diêm 3" sheetId="6" r:id="rId6"/>
    <sheet name="KCN Ninh Diêm 2" sheetId="7" r:id="rId7"/>
    <sheet name="Mỏ KS" sheetId="8" r:id="rId8"/>
    <sheet name="NOXH Hoàn Cầu" sheetId="9" r:id="rId9"/>
    <sheet name="KĐT Mỹ Á" sheetId="10" r:id="rId10"/>
    <sheet name="KĐT Bắc Hòn Hèo" sheetId="11" r:id="rId11"/>
    <sheet name="KĐT Quốc Anh" sheetId="12"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__A66075">#REF!</definedName>
    <definedName name="____A69075">#REF!</definedName>
    <definedName name="____A73075">#REF!</definedName>
    <definedName name="____A83075">#REF!</definedName>
    <definedName name="____AM83028">#REF!</definedName>
    <definedName name="____C630000">#REF!</definedName>
    <definedName name="____C652500">#REF!</definedName>
    <definedName name="____TB1">#REF!</definedName>
    <definedName name="____TB4">#REF!</definedName>
    <definedName name="___A66075">#REF!</definedName>
    <definedName name="___A69075">#REF!</definedName>
    <definedName name="___A73075">#REF!</definedName>
    <definedName name="___A83075">#REF!</definedName>
    <definedName name="___AM83028">#REF!</definedName>
    <definedName name="___C630000">#REF!</definedName>
    <definedName name="___C652500">#REF!</definedName>
    <definedName name="___TB1">#REF!</definedName>
    <definedName name="___TB4">#REF!</definedName>
    <definedName name="_1">#REF!</definedName>
    <definedName name="_A66075">#REF!</definedName>
    <definedName name="_A69075">#REF!</definedName>
    <definedName name="_A73075">#REF!</definedName>
    <definedName name="_A83075">#REF!</definedName>
    <definedName name="_AM83028">#REF!</definedName>
    <definedName name="_C630000">#REF!</definedName>
    <definedName name="_C652500">#REF!</definedName>
    <definedName name="_Fill" hidden="1">#REF!</definedName>
    <definedName name="_xlnm._FilterDatabase" localSheetId="1" hidden="1">'KDC Ninh Long'!$A$6:$H$38</definedName>
    <definedName name="_xlnm._FilterDatabase" localSheetId="0" hidden="1">'KDC Ninh Thủy'!$A$6:$H$59</definedName>
    <definedName name="_Order1" hidden="1">255</definedName>
    <definedName name="_TB1">#REF!</definedName>
    <definedName name="_TB4">#REF!</definedName>
    <definedName name="a">#REF!</definedName>
    <definedName name="Account_code_from">#REF!</definedName>
    <definedName name="Account_code_to">#REF!</definedName>
    <definedName name="Account_type">#REF!</definedName>
    <definedName name="Accountant">#REF!</definedName>
    <definedName name="AdrLxCx">2=0</definedName>
    <definedName name="AdrLxCxCoupCol">2=2</definedName>
    <definedName name="AG_Dbase">#REF!</definedName>
    <definedName name="AG_T0_from">#REF!</definedName>
    <definedName name="AG_T0_to">#REF!</definedName>
    <definedName name="AG_T1_from">#REF!</definedName>
    <definedName name="AG_T1_to">#REF!</definedName>
    <definedName name="AG_Year">#REF!</definedName>
    <definedName name="AL_T6_Database">#REF!</definedName>
    <definedName name="AL_T6_Period_from">#REF!</definedName>
    <definedName name="AL_T6_Period_to">#REF!</definedName>
    <definedName name="ALL_CC_Dbase">#REF!</definedName>
    <definedName name="ALL_CC_Period">#REF!</definedName>
    <definedName name="ALL_CC_T0">#REF!</definedName>
    <definedName name="basiss">#REF!</definedName>
    <definedName name="be">#REF!</definedName>
    <definedName name="Bk_from">#REF!</definedName>
    <definedName name="Bk_to">#REF!</definedName>
    <definedName name="BS_Year">#REF!</definedName>
    <definedName name="CDSPS1">[1]CDPS!$B$10:$I$296</definedName>
    <definedName name="CON_Year">#REF!</definedName>
    <definedName name="csDesignMode">1</definedName>
    <definedName name="data">'[2]YEAR PIVOT'!$A$6:$B$10,'[2]YEAR PIVOT'!$A$12:$D$282</definedName>
    <definedName name="_xlnm.Database">#REF!</definedName>
    <definedName name="Date_from">#REF!</definedName>
    <definedName name="Date_to">#REF!</definedName>
    <definedName name="Edate_from">#REF!</definedName>
    <definedName name="Edate_to">#REF!</definedName>
    <definedName name="Energy_Dbase">#REF!</definedName>
    <definedName name="Energy_T0_from">#REF!</definedName>
    <definedName name="Energy_T0_to">#REF!</definedName>
    <definedName name="Energy_T1_from">#REF!</definedName>
    <definedName name="Energy_T1_to">#REF!</definedName>
    <definedName name="Energy_Year">#REF!</definedName>
    <definedName name="ewgterhyerh">#REF!</definedName>
    <definedName name="FB_Dbase">#REF!</definedName>
    <definedName name="FB_T0_from">#REF!</definedName>
    <definedName name="FB_T0_to">#REF!</definedName>
    <definedName name="FB_T1_from">#REF!</definedName>
    <definedName name="FB_T1_to">#REF!</definedName>
    <definedName name="FB_Year">#REF!</definedName>
    <definedName name="FBD_dbase">#REF!</definedName>
    <definedName name="FBD_Period">#REF!</definedName>
    <definedName name="FSA_Dbase">#REF!</definedName>
    <definedName name="FSA_T0_from">#REF!</definedName>
    <definedName name="FSA_T0_to">#REF!</definedName>
    <definedName name="FSA_T1_from">#REF!</definedName>
    <definedName name="FSA_T1_to">#REF!</definedName>
    <definedName name="FSA_Year">#REF!</definedName>
    <definedName name="HR_Dbase">#REF!</definedName>
    <definedName name="HR_T0_from">#REF!</definedName>
    <definedName name="HR_T0_to">#REF!</definedName>
    <definedName name="HR_T1_from">#REF!</definedName>
    <definedName name="HR_T1_to">#REF!</definedName>
    <definedName name="HR_Year">#REF!</definedName>
    <definedName name="Journal_from">#REF!</definedName>
    <definedName name="Journal_no_from">#REF!</definedName>
    <definedName name="Journal_no_to">#REF!</definedName>
    <definedName name="Journal_to">#REF!</definedName>
    <definedName name="Laudry_Dbase">#REF!</definedName>
    <definedName name="Laudry_T0_from">#REF!</definedName>
    <definedName name="Laudry_T0_to">#REF!</definedName>
    <definedName name="Laudry_T1_from">#REF!</definedName>
    <definedName name="Laudry_T1_to">#REF!</definedName>
    <definedName name="Laundry_Year">#REF!</definedName>
    <definedName name="LB_Currency">#REF!</definedName>
    <definedName name="LBC_Rate">#REF!</definedName>
    <definedName name="LBU_acc_from">#REF!</definedName>
    <definedName name="LBU_acc_to">#REF!</definedName>
    <definedName name="LBU_dbase">#REF!</definedName>
    <definedName name="LBU_period_from">#REF!</definedName>
    <definedName name="LBU_period_to">#REF!</definedName>
    <definedName name="LBU_R">#REF!</definedName>
    <definedName name="LBU_R_USD">#REF!</definedName>
    <definedName name="LBU_R_VND">#REF!</definedName>
    <definedName name="LBU_Report_area">#REF!</definedName>
    <definedName name="m">#REF!</definedName>
    <definedName name="My_Source">[3]BH!$A$1:$C$2</definedName>
    <definedName name="My_Source_U">[4]BHU!$A$1:$F$7</definedName>
    <definedName name="NAMEGUEST">[5]DATA!$C$2:$C$103</definedName>
    <definedName name="OI_Dbase">#REF!</definedName>
    <definedName name="OI_T0_from">#REF!</definedName>
    <definedName name="OI_T0_to">#REF!</definedName>
    <definedName name="OI_T1_from">#REF!</definedName>
    <definedName name="OI_T1_to">#REF!</definedName>
    <definedName name="OI_Year">#REF!</definedName>
    <definedName name="Opening_Balance">#REF!</definedName>
    <definedName name="Period">#REF!</definedName>
    <definedName name="Period_from">#REF!</definedName>
    <definedName name="Period_to">#REF!</definedName>
    <definedName name="PIT.JAN">#REF!</definedName>
    <definedName name="pnl">#REF!</definedName>
    <definedName name="POMEC_Dbase">#REF!</definedName>
    <definedName name="POMEC_T0_from">#REF!</definedName>
    <definedName name="POMEC_T0_to">#REF!</definedName>
    <definedName name="POMEC_T1_from">#REF!</definedName>
    <definedName name="POMEC_T1_to">#REF!</definedName>
    <definedName name="POMEC_Year">#REF!</definedName>
    <definedName name="PR_rptGeneralPaySalaryBankAll">#REF!</definedName>
    <definedName name="Print_Area_MI">#REF!</definedName>
    <definedName name="Print_Jan">#REF!</definedName>
    <definedName name="_xlnm.Print_Titles" localSheetId="1">'KDC Ninh Long'!$5:$6</definedName>
    <definedName name="_xlnm.Print_Titles" localSheetId="0">'KDC Ninh Thủy'!$5:$6</definedName>
    <definedName name="R_AL_T1">#REF!</definedName>
    <definedName name="R_AL_T2">#REF!</definedName>
    <definedName name="R_AL_T6">#REF!</definedName>
    <definedName name="R_JL">#REF!</definedName>
    <definedName name="R_JPY">#REF!</definedName>
    <definedName name="R_JV">#REF!</definedName>
    <definedName name="R_VND">#REF!</definedName>
    <definedName name="Ref_from">#REF!</definedName>
    <definedName name="Ref_to">#REF!</definedName>
    <definedName name="Report_area">#REF!</definedName>
    <definedName name="RESTAURANT___BAR_SUPPLIES">#REF!</definedName>
    <definedName name="Room_Dbase">#REF!</definedName>
    <definedName name="Room_T0_from">#REF!</definedName>
    <definedName name="Room_T0_to">#REF!</definedName>
    <definedName name="Room_T1_from">#REF!</definedName>
    <definedName name="Room_T1_to">#REF!</definedName>
    <definedName name="Room_Year">#REF!</definedName>
    <definedName name="ROOMS">#REF!</definedName>
    <definedName name="SAL_Dbase">#REF!</definedName>
    <definedName name="SAL_T0_from">#REF!</definedName>
    <definedName name="SAL_T0_to">#REF!</definedName>
    <definedName name="SAL_T1_from">#REF!</definedName>
    <definedName name="SAL_T1_to">#REF!</definedName>
    <definedName name="SAL_Year">#REF!</definedName>
    <definedName name="SBN">[6]NHAP!$E$2:$E$1169</definedName>
    <definedName name="So">[7]Data!#REF!</definedName>
    <definedName name="SOF_CC">#REF!</definedName>
    <definedName name="SOF_Period">#REF!</definedName>
    <definedName name="SOTIEN">[8]NHAP!$H$2:$H$1400</definedName>
    <definedName name="Sp_Dbase">#REF!</definedName>
    <definedName name="Sp_T0_from">#REF!</definedName>
    <definedName name="Sp_T0_to">#REF!</definedName>
    <definedName name="Sp_T1_from">#REF!</definedName>
    <definedName name="Sp_T1_to">#REF!</definedName>
    <definedName name="Sp_Year">#REF!</definedName>
    <definedName name="SR_Dbase">#REF!</definedName>
    <definedName name="SR_T0_from">#REF!</definedName>
    <definedName name="SR_T0_to">#REF!</definedName>
    <definedName name="SR_T1_from">#REF!</definedName>
    <definedName name="SR_T1_to">#REF!</definedName>
    <definedName name="SR_Year">#REF!</definedName>
    <definedName name="sso">#REF!</definedName>
    <definedName name="STIEN">[6]NHAP!$G$2:$G$2169</definedName>
    <definedName name="T2_from">#REF!</definedName>
    <definedName name="T2_to">#REF!</definedName>
    <definedName name="T6_from">#REF!</definedName>
    <definedName name="T6_to">#REF!</definedName>
    <definedName name="TaxTV">10%</definedName>
    <definedName name="TaxXL">5%</definedName>
    <definedName name="TB">#REF!</definedName>
    <definedName name="TBCO_Period">#REF!</definedName>
    <definedName name="TBCO_Rate">#REF!</definedName>
    <definedName name="Tel_Dbase">#REF!</definedName>
    <definedName name="Tel_T0_from">#REF!</definedName>
    <definedName name="Tel_T0_to">#REF!</definedName>
    <definedName name="Tel_T1_from">#REF!</definedName>
    <definedName name="Tel_T1_to">#REF!</definedName>
    <definedName name="Tel_Year">#REF!</definedName>
    <definedName name="thu">#REF!</definedName>
    <definedName name="Update">#REF!</definedName>
    <definedName name="ValRep03Formule">#REF!</definedName>
    <definedName name="ValRep04Formule">#REF!</definedName>
    <definedName name="ValRep05Formule">#REF!</definedName>
    <definedName name="ValRep06Formule">#REF!</definedName>
    <definedName name="valuevx">42.314159</definedName>
    <definedName name="zone_saisie">'[9]Submission Form'!$A$4:$C$5,'[9]Submission Form'!$D$7,'[9]Submission Form'!$D$10:$D$11,'[9]Submission Form'!$D$17:$D$26,'[9]Submission Form'!$D$33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5" i="2" l="1"/>
  <c r="F44" i="2"/>
  <c r="F43" i="2"/>
</calcChain>
</file>

<file path=xl/sharedStrings.xml><?xml version="1.0" encoding="utf-8"?>
<sst xmlns="http://schemas.openxmlformats.org/spreadsheetml/2006/main" count="1339" uniqueCount="320">
  <si>
    <t>STT</t>
  </si>
  <si>
    <t xml:space="preserve">Nội dung Chi tiết năm kế hoạch </t>
  </si>
  <si>
    <t xml:space="preserve">Đơn vị/Khối/Phòng/Ban  </t>
  </si>
  <si>
    <t>Mục tiêu Năm 2026</t>
  </si>
  <si>
    <t>Ghi chú</t>
  </si>
  <si>
    <t>Chủ trì</t>
  </si>
  <si>
    <t>Phối hợp</t>
  </si>
  <si>
    <t>Hoàn thành Công tác giải phóng mặt bằng Khu vực I</t>
  </si>
  <si>
    <t>GPMB</t>
  </si>
  <si>
    <t>Rà soát các thủ tục về đầu tư, đất đai của dự án để phục vụ cho thủ tục giao đất, thuê đất</t>
  </si>
  <si>
    <t>ĐT-PL</t>
  </si>
  <si>
    <t>K. Dự án 
K. TCKT 
P.GPMB</t>
  </si>
  <si>
    <t>Thủ tục đóng tiền tương đương giá trị quỹ đất đã đầu tư xây dựng hệ thống hạ tầng kỹ thuật để xây dựng nhà ở xã hội đối với các dự án đầu tư xây dựng nhà ở thương mại</t>
  </si>
  <si>
    <t xml:space="preserve">K. Dự án </t>
  </si>
  <si>
    <t>Công bố quy hoạch và thực hiện cắm mốc quy hoạch</t>
  </si>
  <si>
    <t>P. GPMB</t>
  </si>
  <si>
    <t>Điều chỉnh GCNĐKĐT dự án (phụ thuộc vào kết quả rà soát các thủ tục đầu tư, đất đai, xây dựng của dự án)</t>
  </si>
  <si>
    <t>Phương án 1: Nếu CQNN yêu cầu điều chỉnh mục tiêu dự án thì thực hiện thủ tục Điều chỉnh GCNĐT (quy mô dự án; Tổng mức đầu tư,  ranh giới xin giao đất theo giai đoạn)  theo QHCT 1/500 điều chỉnh, thời hạn hoạt động dự án</t>
  </si>
  <si>
    <t>Phương án 2: Nếu CQNN không yêu cầu điều chỉnh mục tiêu thì điều chỉnh sau khi có TKCS dự án (TKCS là bước phê duyệt dự án đầu tư: quy mô dự án, tổng mức đầu tư)</t>
  </si>
  <si>
    <t>Thiết kế ý tưởng công trình trên đất điển hình</t>
  </si>
  <si>
    <t>K. Dự án 
P. GPMB</t>
  </si>
  <si>
    <t xml:space="preserve">K. Dự án 
</t>
  </si>
  <si>
    <t>Lập và phê duyệt thủ tục ĐTM</t>
  </si>
  <si>
    <t>Thẩm định thiết kế PCCC phần HTKT</t>
  </si>
  <si>
    <t>Thẩm định thiết kế PCCC phần Công trình trên đất</t>
  </si>
  <si>
    <t>Thỏa thuận độ cao tĩnh không các công trình cao tầng</t>
  </si>
  <si>
    <t>Lập trích đo giao đất Khu vực I (Theo QHCT 1/500 điều chỉnh)</t>
  </si>
  <si>
    <t>Thực hiện thủ tục xin giao đất Khu vực I (Theo QHCT 1/500 điều chỉnh)</t>
  </si>
  <si>
    <t>Thực hiện nghĩa vụ tài chính về đất và cấp GCNQSDĐ của khu vực I</t>
  </si>
  <si>
    <t>K. TCKT
P.GPMB</t>
  </si>
  <si>
    <r>
      <t xml:space="preserve">Thủ tục khởi công xây dựng HTKT 
Gửi thông báo thời điểm khởi công xây dựng, hồ sơ thiết kế xây dựng cho cơ quan quản lý nhà nước về xây dựng tại địa phương (BQL KKT&amp;KCN)
</t>
    </r>
    <r>
      <rPr>
        <i/>
        <sz val="12"/>
        <color theme="1"/>
        <rFont val="Times New Roman"/>
        <family val="1"/>
      </rPr>
      <t>(Theo điểm h khoản 2 Điều 89 LXD 2014, 2020 (được sửa đổi bởi điểm c, khoản 1 Điều 56 Luật đường sắt 2025, có hiệu lực từ 01/7/2025) thì hạng mục Xin cấp giấy phép xây dựng HTKT, công trình trên đất theo phân kỳ được miễn giấy phép xây dựng và thay bằng thủ tục này)</t>
    </r>
  </si>
  <si>
    <t>K. Dự án</t>
  </si>
  <si>
    <t>Thủ tục khởi công công trình trên đất Khu vực I</t>
  </si>
  <si>
    <t>Hoàn thành Công tác giải phóng mặt bằng Khu vực II</t>
  </si>
  <si>
    <t>Lập trích đo giao đất Khu vực II  (Theo QHCT 1/500 điều chỉnh)</t>
  </si>
  <si>
    <t>Lập và thẩm duyệt thiết kế bản vẽ KTTC phần Công trình trên đất (Khu vực  II)</t>
  </si>
  <si>
    <t>Thực hiện thủ tục xin giao đất Khu vực II (Theo QHCT 1/500 điều chỉnh)</t>
  </si>
  <si>
    <t>Thực hiện nghĩa vụ tài chính về đất và cấp GCNQSDĐ của khu vực II</t>
  </si>
  <si>
    <t>Thủ tục khởi công công trình trên đất Khu vực II</t>
  </si>
  <si>
    <t>Hoàn thành Công tác giải phóng mặt bằng Khu vực III</t>
  </si>
  <si>
    <t>Lập trích đo giao đất Khu vực III (Theo QHCT 1/500 điều chỉnh)</t>
  </si>
  <si>
    <t>Thực hiện thủ tục xin giao đất Khu vực III (Theo QHCT 1/500 điều chỉnh)</t>
  </si>
  <si>
    <t>Lập và thẩm duyệt thiết kế bản vẽ KTTC phần Công trình trên đất (Khu vực  III)</t>
  </si>
  <si>
    <t>Thực hiện nghĩa vụ tài chính về đất và cấp GCNQSDĐ của khu vực III</t>
  </si>
  <si>
    <t>Thủ tục khởi công công trình trên đất Khu vực III</t>
  </si>
  <si>
    <t>Lưu ý: 
- Theo tiến độ thực hiện dự án đầu tư được quy định tại Giấy chứng nhận đăng ký đầu tư dự kiến là 36 tháng kể từ ngày được điều chỉnh; tiến độ thực hiện các thủ tục pháp lý nêu trên là tiến độ triển khai thực tế dự kiến.
- Tiến độ thực hiện các thủ tục pháp lý dự kiến nêu trên phụ thuộc vào tiến độ giải phóng mặt bằng và thời gian phê duyệt các thủ tục của cơ quan Nhà nước.
- Đối với các công trình cao tầng phải thực hiện thủ tục cấp phép xây dựng, phụ thuộc vào phương án kinh doanh.</t>
  </si>
  <si>
    <t>Thực hiện vào năm 2027</t>
  </si>
  <si>
    <t>Ngày        tháng       năm 2026</t>
  </si>
  <si>
    <t xml:space="preserve">NHẬN CHỈ TIÊU      </t>
  </si>
  <si>
    <t xml:space="preserve">             GIAO CHỈ TIÊU</t>
  </si>
  <si>
    <t xml:space="preserve"> KẾ HOẠCH MỤC TIÊU NĂM 2026
</t>
  </si>
  <si>
    <t>DỰ ÁN KDC NINH THỦY</t>
  </si>
  <si>
    <t>Thời hạn</t>
  </si>
  <si>
    <t>Đã hoàn thành</t>
  </si>
  <si>
    <t>Lập đồ án điều chỉnh QH Chi tiết 1/500 và hồ sơ GIS</t>
  </si>
  <si>
    <t>Trình thẩm định điều chỉnh QH Chi tiết 1/500</t>
  </si>
  <si>
    <t>Tháng 01/2026</t>
  </si>
  <si>
    <t>Tháng 03/2026</t>
  </si>
  <si>
    <t>Tháng 05/2026</t>
  </si>
  <si>
    <t>Tháng 01- 03/2026</t>
  </si>
  <si>
    <t>Tháng 03- 05/2026</t>
  </si>
  <si>
    <t>Tháng 06/2026</t>
  </si>
  <si>
    <t>Lập và Thẩm tra Hồ sơ Thiết kế cơ sở phần HTKT</t>
  </si>
  <si>
    <t>Thẩm định thủ tục Thiết kế cơ sở phần HTKT</t>
  </si>
  <si>
    <t>Lập và Thẩm tra hồ sơ Thiết kế cơ sở phần Công trình trên đất</t>
  </si>
  <si>
    <t>Thẩm định thủ tục Thiết kế cơ sở phần Công trình trên đất</t>
  </si>
  <si>
    <t>Khảo sát địa chất công trình (Khoan bổ sung)</t>
  </si>
  <si>
    <t>KDA</t>
  </si>
  <si>
    <t>CÁC KHỐI</t>
  </si>
  <si>
    <t>Tháng 1-2/2026</t>
  </si>
  <si>
    <t>Tháng 02/2026</t>
  </si>
  <si>
    <t>Thủ tục thỏa thuận đấu nối HTKT (giao thông, điện, nước)</t>
  </si>
  <si>
    <t>Lập thiết kế bản vẽ KTTC phần HTKT</t>
  </si>
  <si>
    <t>Thẩm duyệt thiết kế bản vẽ KTTC phần HTKT</t>
  </si>
  <si>
    <t>Lập thiết kế bản vẽ KTTC phần Công trình trên đất (Khu vực  I)</t>
  </si>
  <si>
    <t>Theo KH của K Dự án thực hiện trong năm 2027</t>
  </si>
  <si>
    <t>Thẩm duyệt thiết kế bản vẽ KTTC phần Công trình trên đất (Khu vực  I)</t>
  </si>
  <si>
    <t>KH của Khối ĐT-PL và DA không khớp nhau</t>
  </si>
  <si>
    <t>K. Dự án 
K. KD</t>
  </si>
  <si>
    <t>100% 
(3.5ha)</t>
  </si>
  <si>
    <t>Tháng 09/2026</t>
  </si>
  <si>
    <t>Tháng 12/2026</t>
  </si>
  <si>
    <t>Tháng 10/2026</t>
  </si>
  <si>
    <t>Tháng 08/2026</t>
  </si>
  <si>
    <t>Tháng 07/2026</t>
  </si>
  <si>
    <t>100% 
(4.56ha)</t>
  </si>
  <si>
    <t xml:space="preserve">Thi công xây dựng </t>
  </si>
  <si>
    <t>KKD/TCKT</t>
  </si>
  <si>
    <t>Tháng 1-12/2026</t>
  </si>
  <si>
    <t>Hạng mục 1: Nhà điều hành Giai đoạn 1</t>
  </si>
  <si>
    <t>TĐ QANT/'TCKT</t>
  </si>
  <si>
    <t>Tháng 1/2026</t>
  </si>
  <si>
    <t>Đã tạm ứng năm 2025 (109.799.003đ)</t>
  </si>
  <si>
    <t>Hạng mục 2: Trồng cây xanh dọc tuyến đường 652 BD và hàng rào tole bổ sung cho GĐ 1 và GĐ 2 còn thiếu</t>
  </si>
  <si>
    <t>Tháng 1-7/2026</t>
  </si>
  <si>
    <t>Đã tạm ứng 50% năm 2025 (979.914.304 đ)</t>
  </si>
  <si>
    <t xml:space="preserve">Hạng mục 3: San lấp nền đường (Phân kỳ 1: 36,71 ha, GĐ1: 20,71 ha, GĐ2: 16 ha): </t>
  </si>
  <si>
    <t>Hoàn thành năm 2026</t>
  </si>
  <si>
    <t>Hạng mục 4: San lấp mặt bằng (Khu vực 1, Ô 1: 15,59 ha (Khu Phía Tây)</t>
  </si>
  <si>
    <t>Tháng 7-12/2026</t>
  </si>
  <si>
    <t>Dự kiến 2026: san lấp mặt bằng: Ô 1, khoảng 15,59 ha (ĐẠT 50%)</t>
  </si>
  <si>
    <t>Hạng mục 5: Nhà điều hành dự án (giai đoạn 2)</t>
  </si>
  <si>
    <t>Tháng 10-12/2026</t>
  </si>
  <si>
    <t>Hạng mục 6: Đấu nối Hệ thống điện – nước tạm phục vụ thi công</t>
  </si>
  <si>
    <t>Tháng 9-10/2026</t>
  </si>
  <si>
    <t>Hạng mục 7: Lắp đặt bảng quảng cáo dự án KDC Ninh Thủy</t>
  </si>
  <si>
    <t>Tháng 4-7/2026</t>
  </si>
  <si>
    <t>Tháng 7/2026</t>
  </si>
  <si>
    <t>NNT/TCKT</t>
  </si>
  <si>
    <t xml:space="preserve">Hạng mục 1: San lấp nền đường (Phân kỳ 1: 36,71 ha, GĐ1: 20,71 ha, GĐ2: 16 ha): </t>
  </si>
  <si>
    <t>NNT/KKD</t>
  </si>
  <si>
    <t xml:space="preserve">Giám sát Thi công xây dựng </t>
  </si>
  <si>
    <t>DỰ ÁN KDC NINH LONG</t>
  </si>
  <si>
    <t>Tiếp tục kiến nghị các cơ quan nhà nước có thẩm quyền vv giải quyết phần diện tích bị chồng lấn.</t>
  </si>
  <si>
    <t>Lập ý tưởng quy hoạch dự án</t>
  </si>
  <si>
    <t>Tháng 5/2026</t>
  </si>
  <si>
    <t>Các Khối</t>
  </si>
  <si>
    <t>Điều chỉnh CTĐT dự án KDC Ninh Long theo diện tích 146,61 ha (điều chỉnh 10 nội dung)</t>
  </si>
  <si>
    <r>
      <t>Lập và trình thẩm định nhiệm vụ QHCT 1/500</t>
    </r>
    <r>
      <rPr>
        <i/>
        <sz val="12"/>
        <color theme="1"/>
        <rFont val="Times New Roman"/>
        <family val="1"/>
      </rPr>
      <t xml:space="preserve"> </t>
    </r>
  </si>
  <si>
    <t>Lập hồ sơ điều chỉnh QH Chi tiết 1/500</t>
  </si>
  <si>
    <t>Tháng 4-9/2026</t>
  </si>
  <si>
    <t>K.Kinh doanh</t>
  </si>
  <si>
    <t>Tháng 5-7/2026</t>
  </si>
  <si>
    <t>Tháng 09- 12/2026</t>
  </si>
  <si>
    <t>Rà phá bom mìn, vật nổ</t>
  </si>
  <si>
    <t>Tháng 4-5/2026</t>
  </si>
  <si>
    <t xml:space="preserve">Lập hồ sơ khảo sát địa chất công trình </t>
  </si>
  <si>
    <t>Tháng 10-11/2026</t>
  </si>
  <si>
    <t>Lập trích đo giao đất Phân kỳ I (Theo QHCT 1/500 điều chỉnh và theo Phân kỳ, tiến độ GPMB)</t>
  </si>
  <si>
    <t>Thực hiện thủ tục xin giao đất, cho thuê đất theo phân kỳ</t>
  </si>
  <si>
    <t xml:space="preserve">Lập thiết kế bản vẽ KTTC phần Công trình trên đất </t>
  </si>
  <si>
    <t xml:space="preserve">Thẩm duyệt thiết kế bản vẽ KTTC phần Công trình trên đất </t>
  </si>
  <si>
    <t>Thủ tục khởi công công trình xây dựng 
Gửi thông báo thời điểm khởi công xây dựng, hồ sơ thiết kế xây dựng cho cơ quan quản lý nhà nước về xây dựng tại địa phương (BQL KKT&amp;KCN)
(Theo điểm h khoản 2 Điều 89 LXD 2014, 2020 (được sửa đổi bởi điểm c, khoản 1 Điều 56 Luật đường sắt 2025, có hiệu lực từ 01/7/2025) thì hạng mục Xin cấp giấy phép xây dựng HTKT, công trình trên đất theo phân kỳ được miễn giấy phép xây dựng và thay bằng thủ tục này)</t>
  </si>
  <si>
    <t>Thực hiện thủ tục chấp thuận phương án sử dụng tầng đất mặt hoặc phương án trồng rừng thay thế hoặc văn bản hoàn thành trách nhiệm nộp tiền trồng rừng thay thế theo quy định của pháp luật về lâm nghiệp (nếu hiện trạng có rừng) theo quy định tại điều 46, Nghị định 102/2024/NĐ-CP đối với trường hợp CMĐSDĐ trồng lúa, đất rừng phòng hộ, đất rừng đặc dụng, đất rừng sản xuất  từ 2 ha trở lên.</t>
  </si>
  <si>
    <t>Thực hiện nghĩa vụ tài chính về đất và cấp GCNQSDĐ theo phân kỳ</t>
  </si>
  <si>
    <t>Lưu ý: 
- Tiến độ thực hiện các thủ tục pháp lý dự kiến nêu trên phụ thuộc vào tiến độ giải phóng mặt bằng và thời gian phê duyệt các thủ tục của cơ quan Nhà nước.</t>
  </si>
  <si>
    <t>Tiếp tục thực hiện vào năm 2027</t>
  </si>
  <si>
    <t>Lập hồ sơ khảo sát, đo đạc địa hình tỷ lệ 1/500 (khu Đông và khu Tây)</t>
  </si>
  <si>
    <t>Đã hoàn thành điều chỉnh 04 nội dung theo GCNĐKĐT điều chỉnh lần 02 ngày 12/03/2026 (diện tích 149.09ha), còn phải điều chinh 06 nội dung còn lại</t>
  </si>
  <si>
    <t xml:space="preserve">Hoàn thành Công tác giải phóng mặt bằng </t>
  </si>
  <si>
    <t>24.22ha</t>
  </si>
  <si>
    <t>KẾ HOẠCH MỤC TIÊU NĂM 2026</t>
  </si>
  <si>
    <t>DỰ ÁN KHU ĐÔ THỊ TMDV NAM VÂN PHONG 
(TÊN THƯƠNG MẠI: KĐT TMDV VÂN PHONG RIVERSIDE 1)</t>
  </si>
  <si>
    <t xml:space="preserve">Hoàn thành giải phóng mặt bằng 100% </t>
  </si>
  <si>
    <t>1.37 ha</t>
  </si>
  <si>
    <t>Hoàn thành vào tháng 03/2026</t>
  </si>
  <si>
    <t>Chưa hoàn thành</t>
  </si>
  <si>
    <t>PA1: Thực hiện theo Nghị quyết 171/2024/QH15</t>
  </si>
  <si>
    <t>Đăng ký đề xuất thực hiện dự án Nhà ở thương mại theo Nghị quyết 171/2024/QH15 và chấp thuận cho tổ chức kinh tế nhận chuyển nhượng, thuê quyền sử dụng đất, nhận góp vốn bằng quyền sử dụng đất để thực hiện dự án đầu tư</t>
  </si>
  <si>
    <t>PA2: Thực hiện theo điều 127 Luật đất đai 2024</t>
  </si>
  <si>
    <t xml:space="preserve">Thủ tục đề nghị chấp thuận cho tổ chức kinh tế nhận chuyển nhượng, thuê quyền sử dụng đất, nhận góp vốn bằng quyền sử dụng đất để thực hiện dự án đầu tư
</t>
  </si>
  <si>
    <t>Hoàn thành công tác thỏa thuận quyền sử dụng đất với các hộ dân, sang tên GCNQSDĐ đối với phần đất đã mua; thực hiện thủ tục xin giao đất đối với diện tích đất do Nhà nước quản lý</t>
  </si>
  <si>
    <t>Hoàn thành vào tháng 07/2026</t>
  </si>
  <si>
    <t>Thực hiện thủ tục Quyết định chấp thuận chủ trương đầu tư đồng thời chấp thuận chủ trương đầu tư:
- Mảnh trích đo thẩm định bởi Sở NNMT;
- Lập hồ sơ đánh giá tác động môi trường sơ bộ:
- Thư hứa cấp tín dụng ngân hàng và báo cáo tài chính</t>
  </si>
  <si>
    <t>Hoàn thành vào tháng 09/2026</t>
  </si>
  <si>
    <t>Thiết kế quy hoạch ý tưởng dự án</t>
  </si>
  <si>
    <t>Lập và trình thẩm định nhiệm vụ  QHCT 1/500</t>
  </si>
  <si>
    <t>Hoàn thành vào tháng 11/2026</t>
  </si>
  <si>
    <t>Lập hồ sơ QH Chi tiết 1/500</t>
  </si>
  <si>
    <t>Tháng 6-12/2026</t>
  </si>
  <si>
    <t>Trình thẩm định QH Chi tiết 1/500</t>
  </si>
  <si>
    <t>Hoàn thành vào tháng 12/2026</t>
  </si>
  <si>
    <t>Lập hồ sơ khảo sát địa hình 1/500</t>
  </si>
  <si>
    <t>KKD</t>
  </si>
  <si>
    <t>KDA/TC-KT</t>
  </si>
  <si>
    <t>Tháng 8-9/2026</t>
  </si>
  <si>
    <t>Thực hiện sau khi QHCT 1/500 phê duyệt</t>
  </si>
  <si>
    <t>Thực hiện thủ tục chấp thuận phương án sử dụng tầng đất mặt</t>
  </si>
  <si>
    <t>Tiếp tục thực hiện vào năm sau</t>
  </si>
  <si>
    <t>Lập, thẩm tra thủ tục Thiết kế cơ sở phần HTKT</t>
  </si>
  <si>
    <t>Lập, thẩm tra thủ tục Thiết kế cơ sở phần Công trình trên đất</t>
  </si>
  <si>
    <t>Thủ tục thỏa thuận đấu nối HTKT  (giao thông, điện, nước)</t>
  </si>
  <si>
    <t>Lập trích đo giao đất (Theo QHCT 1/500)</t>
  </si>
  <si>
    <t>Thủ tục xin chuyển mục đích sử dụng đất</t>
  </si>
  <si>
    <t>Thực hiện nghĩa vụ tài chính về đất và cấp GCNQSDĐ</t>
  </si>
  <si>
    <t>P. GPMB
TCKT</t>
  </si>
  <si>
    <t>Lập và thẩm duyệt thiết kế bản vẽ KTTC phần HTKT</t>
  </si>
  <si>
    <t xml:space="preserve">Lập và thẩm duyệt thiết kế bản vẽ KTTC phần Công trình trên đất </t>
  </si>
  <si>
    <r>
      <t xml:space="preserve">Thủ tục khởi công công trình xây dựng 
Gửi thông báo thời điểm khởi công xây dựng, hồ sơ thiết kế xây dựng cho cơ quan quản lý nhà nước về xây dựng tại địa phương (BQL KKT&amp;KCN)
</t>
    </r>
    <r>
      <rPr>
        <i/>
        <sz val="12"/>
        <color theme="1"/>
        <rFont val="Times New Roman"/>
        <family val="1"/>
      </rPr>
      <t>(Theo điểm h khoản 2 Điều 89 LXD 2014, 2020 (được sửa đổi bởi điểm c, khoản 1 Điều 56 Luật đường sắt 2025, có hiệu lực từ 01/7/2025) thì hạng mục Xin cấp giấy phép xây dựng HTKT, công trình trên đất theo phân kỳ được miễn giấy phép xây dựng và thay bằng thủ tục này)</t>
    </r>
  </si>
  <si>
    <t>Thi công xây dựng:</t>
  </si>
  <si>
    <t xml:space="preserve">Hạng mục 1: Hàng rào kẽm gai bao quanh đất dự án </t>
  </si>
  <si>
    <t>TĐ QANT/TCKT</t>
  </si>
  <si>
    <t>Giám sát Thi công xây dựng:</t>
  </si>
  <si>
    <t>Tháng 9/2026</t>
  </si>
  <si>
    <t>Giám sát thi công hàng rào kẽm gai Gđ 1&amp; 2</t>
  </si>
  <si>
    <t>TVGS/TCKT</t>
  </si>
  <si>
    <t>Lưu ý:
- Tiến độ thực hiện các thủ tục pháp lý dự kiến nêu trên phụ thuộc vào tiến độ giải phóng mặt bằng và thời gian phê duyệt các thủ tục của cơ quan Nhà nước.</t>
  </si>
  <si>
    <t>Hoàn thành vào tháng 10/2026</t>
  </si>
  <si>
    <t>Hoàn thành vào tháng 06/2026</t>
  </si>
  <si>
    <t>Kế hoạch của Dự án và ĐT-PL không khớp nhau</t>
  </si>
  <si>
    <r>
      <t xml:space="preserve">Tiếp tục thực hiện vào năm sau </t>
    </r>
    <r>
      <rPr>
        <sz val="12"/>
        <color rgb="FFFF0000"/>
        <rFont val="Times New Roman"/>
        <family val="1"/>
      </rPr>
      <t>(Kế hoạch của Dự án và ĐT-PL không khớp nhau)</t>
    </r>
  </si>
  <si>
    <t>DỰ ÁN KHU ĐÔ THỊ TMDV ĐÔNG BẮC NINH HÒA 
(TÊN THƯƠNG MẠI: KĐT TMDV VÂN PHONG RIVERSIDE 3)</t>
  </si>
  <si>
    <t>9.1 ha</t>
  </si>
  <si>
    <t>DỰ ÁN KHU ĐÔ THỊ TMDV BẮC NINH HÒA
(TÊN THƯƠNG MẠI: KĐT TMDV VÂN PHONG RIVERSIDE 2)</t>
  </si>
  <si>
    <t>0.002 ha</t>
  </si>
  <si>
    <t xml:space="preserve">DỰ ÁN KHU CÔNG NGHIỆP NINH DIÊM 3
</t>
  </si>
  <si>
    <t>Liên danh NĐT có kinh nghiệm theo hình thức góp vốn vào HCNL</t>
  </si>
  <si>
    <t>TC-KT</t>
  </si>
  <si>
    <t>Hoàn thành vào tháng 01/2026</t>
  </si>
  <si>
    <t>Chuẩn bị các điều kiện và hoàn thiện hồ sơ năng lực để liên danh tham gia đấu thầu lựa chọn nhà đầu tư gồm:
 1. Hồ sơ liên danh
 2. Vốn, năng lực tài chính
 3. Năng lực vận hành, kinh nghiệm đầu tư, xây dựng công trình, dự án tương tự.</t>
  </si>
  <si>
    <t>Lập hồ sơ dự thầu</t>
  </si>
  <si>
    <t>Tham gia đấu thầu</t>
  </si>
  <si>
    <t>Khối dự án</t>
  </si>
  <si>
    <t>Hoàn thành vào tháng 04/2026</t>
  </si>
  <si>
    <t>Ký Hợp đồng thực hiện dự án và cấp GCNĐKĐT</t>
  </si>
  <si>
    <t>Hoàn thành công tác bồi thường hỗ trợ TĐC</t>
  </si>
  <si>
    <t>GPMB
Khối dự án</t>
  </si>
  <si>
    <t xml:space="preserve">Lập trích đo giao đất </t>
  </si>
  <si>
    <t>Thực hiện thủ tục xin giao đất, cho thuê đất (phụ thuộc vào tiến độ GPMB)</t>
  </si>
  <si>
    <t>Thủ tục thiết kế cơ sở + Thẩm tra PCCC về thiết kế cơ sở, DTM</t>
  </si>
  <si>
    <t>Thủ tục thỏa thuận đấu nối HTKT, PCCC …</t>
  </si>
  <si>
    <t>Thủ tục thẩm tra thiết kế bản vẽ KTTC</t>
  </si>
  <si>
    <t>Thực hiện thủ tục chấp thuận phương án sử dụng tầng đất mặt hoặc phương án trồng rừng thay thế hoặc văn bản hoàn thành trách nhiệm nộp tiền trồng rừng thay thế theo quy định của pháp luật về lâm nghiệp (nếu hiện trạng có rừng) theo quy định tại điều 46, Nghị định 102/2024/NĐ-CP đối với trường hợp CMĐSDĐ trồng lúa, đất rừng phòng hộ, đất rừng đặc dụng, đất rừng sản xuất từ 2 ha trở lên.</t>
  </si>
  <si>
    <t xml:space="preserve">Thủ tục xác định nghĩa vụ tài chính về đất </t>
  </si>
  <si>
    <t>GPMB
TCKT</t>
  </si>
  <si>
    <t xml:space="preserve">Thủ tục cấp giấy CNQSDĐ </t>
  </si>
  <si>
    <t xml:space="preserve">Hoàn thành giải phóng mặt bằng </t>
  </si>
  <si>
    <t>26.31 ha</t>
  </si>
  <si>
    <t>Lập QH Chi tiết 1/500</t>
  </si>
  <si>
    <t>Tháng 5-10/2026</t>
  </si>
  <si>
    <t xml:space="preserve">DỰ ÁN KHU CÔNG NGHIỆP NINH DIÊM 2
</t>
  </si>
  <si>
    <t>92.23 ha</t>
  </si>
  <si>
    <t>Thực hiện xin Quyết định chủ trương đầu tư dự án đồng thời chấp thuận Nhà đầu tư</t>
  </si>
  <si>
    <t>Thủ tục cấp GCN ĐKĐT</t>
  </si>
  <si>
    <t>Điều chỉnh cục bộ QHC KKT</t>
  </si>
  <si>
    <t>Hoàn thành vào tháng 05/2026</t>
  </si>
  <si>
    <t>Điều chỉnh cục bộ QHPK 17</t>
  </si>
  <si>
    <t>Hoàn thành vào tháng 08/2026</t>
  </si>
  <si>
    <t>Lập thẩm tra, thẩm định thủ tục thiết kế cơ sở + Thẩm tra PCCC về thiết kế cơ sở, DTM</t>
  </si>
  <si>
    <t>Triển khai thực hiện từ tháng 11/2026</t>
  </si>
  <si>
    <t>Thực hiện năm sau</t>
  </si>
  <si>
    <t>Thực hiện thủ tục xin giao đất, cho thuê đất từng phần</t>
  </si>
  <si>
    <t>Lập thẩm tra, thẩm định, thẩm tra thiết kế bản vẽ KTTC phần HTKT</t>
  </si>
  <si>
    <t>Thủ tục xác định nghĩa vụ tài chính về đất và cấp GCN QSDĐ</t>
  </si>
  <si>
    <t>Thực hiện thủ tục chấp thuận phương án sử dụng tầng đất mặt (theo quy định tại điều 46, Nghị định 102/2024/NĐ-CP đối với trường hợp CMĐSDĐ trồng lúa từ 2 ha trở lên</t>
  </si>
  <si>
    <t>Lập hồ sơ đo đạc trích đo địa chính 1/2000</t>
  </si>
  <si>
    <t>GPMB/KDA</t>
  </si>
  <si>
    <t>Tháng 8-10/2026</t>
  </si>
  <si>
    <r>
      <t>Lập phương án ý tưởng QH 1/500</t>
    </r>
    <r>
      <rPr>
        <i/>
        <sz val="12"/>
        <rFont val="Times New Roman"/>
        <family val="1"/>
      </rPr>
      <t xml:space="preserve">  </t>
    </r>
  </si>
  <si>
    <t>Trình, thẩm định QH Chi tiết 1/500</t>
  </si>
  <si>
    <t>Không có trong kế hoạch của Dự án</t>
  </si>
  <si>
    <t>1.09 ha</t>
  </si>
  <si>
    <t>PHƯƠNG ÁN 1: Thực hiện thủ tục đấu giá quyền khai thác mỏ khoáng sản</t>
  </si>
  <si>
    <t>Hoàn thành cập nhật kế hoạch đấu giá quyền khai thác khoáng sản của tỉnh Khánh Hòa</t>
  </si>
  <si>
    <t>Hoàn thành vào tháng 02/2026</t>
  </si>
  <si>
    <t>Hoàn thiện năng lực tham gia đấu giá</t>
  </si>
  <si>
    <t xml:space="preserve">Tham gia đấu giá quyền khai thác khoáng sản </t>
  </si>
  <si>
    <t>Thực hiện hồ sơ về tư vấn xác định trữ lượng khoáng sản</t>
  </si>
  <si>
    <t xml:space="preserve">Thủ tục xin chủ trương đầu tư </t>
  </si>
  <si>
    <t xml:space="preserve">Thủ tục xin cấp phép khai thác khoáng sản </t>
  </si>
  <si>
    <t>PHƯƠNG ÁN 2: Thực hiện theo Nghị quyết số 66.4/NQ-CP ngày 21/9/2025 về các cơ chế, chính sách đặc thù nhằm tháo gỡ khó khăn trong triển khai Luật Địa chất và khoáng sản năm 2024</t>
  </si>
  <si>
    <t>Chấp thuận KDC Ninh Thủy là dự án phát triển Kinh tế xã hội theo Nghị quyết 66.4</t>
  </si>
  <si>
    <t>Xin cấp phép khai thác khoáng sản theo cơ chế Nghị quyết 66.4/NQ-CP tại Sở Nông nghiệp và Môi trường</t>
  </si>
  <si>
    <t>Phê duyệt trữ lượng khai thác khoáng sản</t>
  </si>
  <si>
    <t>Giấy phép môi trường</t>
  </si>
  <si>
    <t>Giấy phép khai thác vật liệu xây dựng</t>
  </si>
  <si>
    <t xml:space="preserve">DỰ ÁN KHAI THÁC MỎ KHOÁNG SẢN
</t>
  </si>
  <si>
    <r>
      <t xml:space="preserve">Trong giai đoạn này đồng thời thực hiện các bước về lựa chọn pháp nhân đáp ứng điều kiện năng lực tài chính, ngành nghề khai thác khoáng sản để đảm bảo nộp hồ sơ xin cấp phép khai thác khoáng sản.
</t>
    </r>
    <r>
      <rPr>
        <sz val="12"/>
        <color rgb="FFFF0000"/>
        <rFont val="Times New Roman"/>
        <family val="1"/>
      </rPr>
      <t>Chưa hoàn thành</t>
    </r>
  </si>
  <si>
    <t xml:space="preserve">DỰ ÁN NHÀ Ở XÃ HỘI HOÀN CẦU
</t>
  </si>
  <si>
    <t>1.58 ha</t>
  </si>
  <si>
    <t>Thủ tục quyết định chấp thuận chủ trương đầu tư đồng thời chấp thuận NĐT</t>
  </si>
  <si>
    <t>Thủ tục cấp GCNĐKĐT</t>
  </si>
  <si>
    <t>Tiếp tục thực hiện năm 2027 (Năm 2026 thực hiện lập hồ sơ, năm 2027 trình thẩm định, phê duyệt)</t>
  </si>
  <si>
    <t>Lập hồ sơ thực hiện thủ tục Thiết kế cơ sở phần HTKT</t>
  </si>
  <si>
    <t>Lập hồ sơ thực hiện thủ tục Thiết kế cơ sở phần Công trình trên đất</t>
  </si>
  <si>
    <t>Lập hồ sơ thực hiện thủ tục ĐTM</t>
  </si>
  <si>
    <t>Lập hồ sơ thiết kế PCCC phần HTKT</t>
  </si>
  <si>
    <t>Lập hồ sơ thiết kế PCCC phần Công trình trên đất</t>
  </si>
  <si>
    <t>Thực hiện năm 2027</t>
  </si>
  <si>
    <t>Lập trích đo giao đất</t>
  </si>
  <si>
    <t>Thực hiện thủ tục xin giao đất, cho thuê đất</t>
  </si>
  <si>
    <t>Lập và thẩm duyệt thiết kế bản vẽ KTTC phần Công trình trên đất</t>
  </si>
  <si>
    <t>TCKT</t>
  </si>
  <si>
    <t>Phê duyệt giá bán, giá cho thuê, thuê mua nhà ở xã hội</t>
  </si>
  <si>
    <t>Tổ chức bán, cho thuê, cho thuê mua nhà ở xã hội theo quy định</t>
  </si>
  <si>
    <t>Báo cáo hoàn thành dự án, đăng ký hoạt động và quản lý vận hành khu nhà ở xã hội</t>
  </si>
  <si>
    <r>
      <t>Lập hồ sơ QHCT 1/500</t>
    </r>
    <r>
      <rPr>
        <i/>
        <sz val="12"/>
        <color theme="1"/>
        <rFont val="Times New Roman"/>
        <family val="1"/>
      </rPr>
      <t xml:space="preserve"> </t>
    </r>
  </si>
  <si>
    <t>Tháng 4-11/2026</t>
  </si>
  <si>
    <t>Khối Kinh doanh</t>
  </si>
  <si>
    <t>Lập hồ sơ khảo sát, đo đạc địa hình 1/500</t>
  </si>
  <si>
    <t>Tháng 4/2026</t>
  </si>
  <si>
    <t>Hạng mục: Đúc cọc bê tông và cắm mốc ranh đất dự án (30 cọc)</t>
  </si>
  <si>
    <t>Kinh doanh</t>
  </si>
  <si>
    <t xml:space="preserve">DỰ ÁN KĐT DU LỊCH MỸ Á
</t>
  </si>
  <si>
    <t>Lập phương án ý tưởng quy hoạch: Tìm kiếm và chọn đơn vị tư vấn; lập mảnh trích đo dự án và xác định ranh giới và hiện trạng sử dụng đất</t>
  </si>
  <si>
    <t>GPMB
K. Kinh doanh</t>
  </si>
  <si>
    <t>Rà soát các Quy hoạch chung, QHPK, QHSDĐ, KHSDĐ, Chương trình phát triển đô thị, Chương trình phát triển Nhà ở</t>
  </si>
  <si>
    <t>Lập đề xuất nghiên cứu và phương án phát triển dự án: Báo cáo Ban Quản lý KKT và KCN tỉnh Khánh Hòa và UBND Tỉnh</t>
  </si>
  <si>
    <t>Hoàn thiện phương án phát triển các dự án theo góp ý các Ngành, UBND tỉnh</t>
  </si>
  <si>
    <t>Hoàn thiện hồ sơ Quyết định CTĐT: hoàn thiện pháp nhân, tài chính và hoàn thiện các hồ sơ CTĐT theo quy định
Gồm:
- Chuẩn bị năng lực tài chính: Thực hiện kiểm toán, chứng thư.
- Thực hiện thủ tục đánh giá ĐTM sơ bộ.
- Thẩm tra khái toán TMĐT.
- Phương án Bồi thường hỗ trợ TĐC sơ bộ.</t>
  </si>
  <si>
    <t>Trình hồ sơ quyết định chủ trương đầu tư dự án</t>
  </si>
  <si>
    <t>Thực hiện lấy ý kiến các Sở, ngành, UBND, Bộ,….về hồ sơ xin quyết định CTĐT</t>
  </si>
  <si>
    <t>Phê duyệt Quyết định chấp thuận chủ trương đầu tư</t>
  </si>
  <si>
    <t>Khối Dự án</t>
  </si>
  <si>
    <t>Trình HĐND thông quan danh mục dự án thu hồi đất và đấu thầu</t>
  </si>
  <si>
    <t>Lập hồ sơ mời thầu và thẩm tra hồ sơ mời thầu</t>
  </si>
  <si>
    <t>Tham gia đấu thầu lựa chọn nhà đầu tư</t>
  </si>
  <si>
    <t>Ký Hợp đồng thầu và giấy chứng nhận đăng ký đầu tư</t>
  </si>
  <si>
    <t xml:space="preserve">Thực hiện các thủ tục Bồi thường hỗ trợ tái định cư </t>
  </si>
  <si>
    <t>Thực hiện lập QHCT dự án và Thiết kế ý tưởng kỹ thuật công trình trên đất điển hình</t>
  </si>
  <si>
    <t>Đã gửi văn bản cho Ban QLKKTKCN và UBND tỉnh xin lịch báo cáo phương án, tuy nhiên do chưa hoàn thiện phương án ý tưởng nên đã xin hoãn lịch họp =&gt; Chưa hoàn thành</t>
  </si>
  <si>
    <t>Tháng 8/2026</t>
  </si>
  <si>
    <t>Hạng mục: Đúc cọc bê tông và cắm mốc ranh đất dự án (130 cọc)</t>
  </si>
  <si>
    <t xml:space="preserve">DỰ ÁN KĐT SINH THÁI BẮC HÒN HÈO
</t>
  </si>
  <si>
    <t>Thi công xây dựng</t>
  </si>
  <si>
    <t>Hạng mục: Đúc cọc bê tông và cắm mốc ranh đất dự án (200 cọc haven 2)</t>
  </si>
  <si>
    <t>Hạng mục: Đúc cọc bê tông và cắm mốc ranh đất dự án (200 cọc Haven 3)</t>
  </si>
  <si>
    <t>Tháng 6-7/2026</t>
  </si>
  <si>
    <t xml:space="preserve">DỰ ÁN KĐT DU LỊCH DỊCH VỤ QUỐC ANH
</t>
  </si>
  <si>
    <t>1.88 ha</t>
  </si>
  <si>
    <t>Hoàn thành tháng 03/2026</t>
  </si>
  <si>
    <t>Hoàn thành tháng 09/2026</t>
  </si>
  <si>
    <t>Hoàn thành tháng 12/2026</t>
  </si>
  <si>
    <t xml:space="preserve"> Tiếp tục thực hiện vào năm sau</t>
  </si>
  <si>
    <t>Lập, thẩm tra và thẩm định thủ tục Thiết kế cơ sở phần HTKT</t>
  </si>
  <si>
    <t>Lập, thẩm tra và thẩm định thủ tục Thiết kế cơ sở phần Công trình trên đất</t>
  </si>
  <si>
    <t>P. GPMB
K. Kinh doanh</t>
  </si>
  <si>
    <t>P.GPMB
TCKT</t>
  </si>
  <si>
    <t>Lập hồ sơ nhiệm vụ QHCT 1/500</t>
  </si>
  <si>
    <t>Trình thẩm định nhiệm vụ  QHCT 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</si>
</sst>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1010000]d/m/yyyy"/>
    <numFmt numFmtId="166" formatCode="_-* #,##0.00_-;\-* #,##0.00_-;_-* &quot;-&quot;??_-;_-@_-"/>
  </numFmts>
  <fonts count="23" x14ac:knownFonts="1">
    <font>
      <sz val="11"/>
      <color theme="1"/>
      <name val="Calibri"/>
      <family val="2"/>
      <scheme val="minor"/>
    </font>
    <font>
      <sz val="11"/>
      <color theme="1"/>
      <name val="Calibri"/>
      <family val="2"/>
      <scheme val="minor"/>
    </font>
    <font>
      <sz val="12"/>
      <color theme="1"/>
      <name val="Times New Roman"/>
      <family val="1"/>
    </font>
    <font>
      <sz val="11"/>
      <color theme="1"/>
      <name val="Times New Roman"/>
      <family val="1"/>
    </font>
    <font>
      <b/>
      <sz val="18"/>
      <color theme="1"/>
      <name val="Times New Roman"/>
      <family val="1"/>
    </font>
    <font>
      <b/>
      <sz val="12"/>
      <color theme="1"/>
      <name val="Times New Roman"/>
      <family val="1"/>
    </font>
    <font>
      <i/>
      <sz val="12"/>
      <color theme="1"/>
      <name val="Times New Roman"/>
      <family val="1"/>
    </font>
    <font>
      <sz val="12"/>
      <color rgb="FFFF0000"/>
      <name val="Times New Roman"/>
      <family val="1"/>
    </font>
    <font>
      <sz val="13"/>
      <color theme="1"/>
      <name val="Times New Roman"/>
      <family val="1"/>
    </font>
    <font>
      <b/>
      <sz val="13"/>
      <color theme="1"/>
      <name val="Times New Roman"/>
      <family val="1"/>
    </font>
    <font>
      <sz val="12"/>
      <name val="Times New Roman"/>
      <family val="1"/>
    </font>
    <font>
      <b/>
      <sz val="11"/>
      <name val="Times New Roman"/>
      <family val="1"/>
    </font>
    <font>
      <b/>
      <sz val="11"/>
      <color rgb="FFFF0000"/>
      <name val="Times New Roman"/>
      <family val="1"/>
    </font>
    <font>
      <sz val="11"/>
      <name val="Times New Roman"/>
      <family val="1"/>
    </font>
    <font>
      <sz val="11"/>
      <color rgb="FFFF0000"/>
      <name val="Times New Roman"/>
      <family val="1"/>
    </font>
    <font>
      <b/>
      <sz val="20"/>
      <name val="Times New Roman"/>
      <family val="1"/>
    </font>
    <font>
      <b/>
      <sz val="15"/>
      <color theme="1"/>
      <name val="Times New Roman"/>
      <family val="1"/>
    </font>
    <font>
      <b/>
      <sz val="11"/>
      <color theme="1"/>
      <name val="Times New Roman"/>
      <family val="1"/>
    </font>
    <font>
      <sz val="13"/>
      <name val="Times New Roman"/>
      <family val="1"/>
    </font>
    <font>
      <sz val="8"/>
      <name val="Calibri"/>
      <family val="2"/>
      <scheme val="minor"/>
    </font>
    <font>
      <i/>
      <sz val="12"/>
      <name val="Times New Roman"/>
      <family val="1"/>
    </font>
    <font>
      <sz val="12"/>
      <color theme="1"/>
      <name val="Calibri"/>
      <family val="2"/>
      <scheme val="minor"/>
    </font>
    <font>
      <sz val="12"/>
      <color rgb="FF081B3A"/>
      <name val="Times New Roman"/>
      <family val="1"/>
    </font>
  </fonts>
  <fills count="4">
    <fill>
      <patternFill patternType="none"/>
    </fill>
    <fill>
      <patternFill patternType="gray125"/>
    </fill>
    <fill>
      <patternFill patternType="solid">
        <fgColor theme="7" tint="0.79998168889431442"/>
        <bgColor rgb="FFFFFF00"/>
      </patternFill>
    </fill>
    <fill>
      <patternFill patternType="solid">
        <fgColor theme="0"/>
        <bgColor theme="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166" fontId="1" fillId="0" borderId="0" applyFont="0" applyFill="0" applyBorder="0" applyAlignment="0" applyProtection="0"/>
  </cellStyleXfs>
  <cellXfs count="119">
    <xf numFmtId="0" fontId="0" fillId="0" borderId="0" xfId="0"/>
    <xf numFmtId="0" fontId="2" fillId="0" borderId="0" xfId="1" applyFont="1" applyAlignment="1">
      <alignment horizontal="center" vertical="center"/>
    </xf>
    <xf numFmtId="0" fontId="2" fillId="0" borderId="0" xfId="1" applyFont="1" applyAlignment="1">
      <alignment horizontal="center" vertical="center" wrapText="1"/>
    </xf>
    <xf numFmtId="0" fontId="2" fillId="0" borderId="0" xfId="1" applyFont="1" applyAlignment="1">
      <alignment vertical="center" wrapText="1"/>
    </xf>
    <xf numFmtId="164" fontId="2" fillId="0" borderId="0" xfId="1" applyNumberFormat="1" applyFont="1" applyAlignment="1">
      <alignment horizontal="center" vertical="center"/>
    </xf>
    <xf numFmtId="0" fontId="3" fillId="0" borderId="0" xfId="1" applyFont="1"/>
    <xf numFmtId="0" fontId="4" fillId="0" borderId="0" xfId="1" applyFont="1" applyAlignment="1">
      <alignment horizontal="center" vertical="center" wrapText="1"/>
    </xf>
    <xf numFmtId="0" fontId="4" fillId="0" borderId="0" xfId="1" applyFont="1" applyAlignment="1">
      <alignment horizontal="center" vertical="center"/>
    </xf>
    <xf numFmtId="0" fontId="2" fillId="0" borderId="0" xfId="1" applyFont="1"/>
    <xf numFmtId="0" fontId="2" fillId="0" borderId="0" xfId="1" applyFont="1" applyAlignment="1">
      <alignment wrapText="1"/>
    </xf>
    <xf numFmtId="164" fontId="5" fillId="2" borderId="1" xfId="1" applyNumberFormat="1" applyFont="1" applyFill="1" applyBorder="1" applyAlignment="1">
      <alignment horizontal="center" vertical="center" wrapText="1"/>
    </xf>
    <xf numFmtId="0" fontId="2" fillId="3" borderId="1" xfId="1" applyFont="1" applyFill="1" applyBorder="1" applyAlignment="1">
      <alignment horizontal="center" vertical="center"/>
    </xf>
    <xf numFmtId="0" fontId="2" fillId="0" borderId="1" xfId="1" applyFont="1" applyBorder="1" applyAlignment="1">
      <alignment horizontal="center" vertical="center" wrapText="1"/>
    </xf>
    <xf numFmtId="0" fontId="2" fillId="3" borderId="1" xfId="1" applyFont="1" applyFill="1" applyBorder="1" applyAlignment="1">
      <alignment horizontal="center" vertical="center" wrapText="1"/>
    </xf>
    <xf numFmtId="165" fontId="2" fillId="3" borderId="1" xfId="1" applyNumberFormat="1" applyFont="1" applyFill="1" applyBorder="1" applyAlignment="1">
      <alignment horizontal="center" vertical="center" wrapText="1"/>
    </xf>
    <xf numFmtId="0" fontId="2" fillId="3" borderId="1" xfId="1" quotePrefix="1" applyFont="1" applyFill="1" applyBorder="1" applyAlignment="1">
      <alignment horizontal="center" vertical="center" wrapText="1"/>
    </xf>
    <xf numFmtId="0" fontId="2" fillId="3" borderId="1" xfId="1" applyFont="1" applyFill="1" applyBorder="1" applyAlignment="1">
      <alignment vertical="center" wrapText="1"/>
    </xf>
    <xf numFmtId="0" fontId="2" fillId="0" borderId="1" xfId="1" applyFont="1" applyBorder="1" applyAlignment="1">
      <alignment horizontal="center" wrapText="1"/>
    </xf>
    <xf numFmtId="0" fontId="8" fillId="0" borderId="0" xfId="1" applyFont="1"/>
    <xf numFmtId="0" fontId="8" fillId="0" borderId="0" xfId="1" applyFont="1" applyAlignment="1">
      <alignment vertical="center"/>
    </xf>
    <xf numFmtId="0" fontId="8" fillId="0" borderId="0" xfId="1" applyFont="1" applyAlignment="1">
      <alignment horizontal="center"/>
    </xf>
    <xf numFmtId="0" fontId="9" fillId="0" borderId="0" xfId="1" applyFont="1" applyAlignment="1">
      <alignment horizontal="center"/>
    </xf>
    <xf numFmtId="0" fontId="9" fillId="0" borderId="0" xfId="1" applyFont="1" applyAlignment="1">
      <alignment horizontal="center" vertical="center"/>
    </xf>
    <xf numFmtId="0" fontId="3" fillId="0" borderId="0" xfId="1" applyFont="1" applyAlignment="1">
      <alignment vertical="center"/>
    </xf>
    <xf numFmtId="9" fontId="2" fillId="3" borderId="1" xfId="1" applyNumberFormat="1" applyFont="1" applyFill="1" applyBorder="1" applyAlignment="1">
      <alignment horizontal="center" vertical="center" wrapText="1"/>
    </xf>
    <xf numFmtId="9" fontId="2" fillId="0" borderId="1" xfId="2" applyNumberFormat="1" applyFont="1" applyFill="1" applyBorder="1" applyAlignment="1">
      <alignment horizontal="center" vertical="center" wrapText="1"/>
    </xf>
    <xf numFmtId="0" fontId="10" fillId="0" borderId="1" xfId="0" quotePrefix="1" applyFont="1" applyBorder="1" applyAlignment="1">
      <alignment horizontal="center" vertical="center" wrapText="1"/>
    </xf>
    <xf numFmtId="0" fontId="2" fillId="0" borderId="1" xfId="0" quotePrefix="1" applyFont="1" applyBorder="1" applyAlignment="1">
      <alignment horizontal="center" vertical="center" wrapText="1"/>
    </xf>
    <xf numFmtId="9" fontId="2" fillId="0" borderId="1" xfId="2" applyNumberFormat="1" applyFont="1" applyFill="1" applyBorder="1" applyAlignment="1">
      <alignment horizontal="center" vertical="center"/>
    </xf>
    <xf numFmtId="0" fontId="7" fillId="3" borderId="1" xfId="1" applyFont="1" applyFill="1" applyBorder="1" applyAlignment="1">
      <alignment vertical="center" wrapText="1"/>
    </xf>
    <xf numFmtId="0" fontId="11" fillId="0" borderId="1" xfId="0" applyFont="1" applyBorder="1" applyAlignment="1">
      <alignment horizontal="center" vertical="center"/>
    </xf>
    <xf numFmtId="0" fontId="11" fillId="0" borderId="1" xfId="0" quotePrefix="1" applyFont="1" applyBorder="1" applyAlignment="1">
      <alignment horizontal="center" vertical="center" wrapText="1"/>
    </xf>
    <xf numFmtId="9" fontId="3" fillId="0" borderId="1" xfId="2" applyNumberFormat="1"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1" xfId="0" quotePrefix="1" applyFont="1" applyBorder="1" applyAlignment="1">
      <alignment horizontal="center" vertical="center" wrapText="1"/>
    </xf>
    <xf numFmtId="9" fontId="13" fillId="0" borderId="1" xfId="2" applyNumberFormat="1" applyFont="1" applyFill="1" applyBorder="1" applyAlignment="1">
      <alignment horizontal="center" vertical="center"/>
    </xf>
    <xf numFmtId="9" fontId="13" fillId="0" borderId="1" xfId="2"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0" fillId="0" borderId="1" xfId="0" applyBorder="1"/>
    <xf numFmtId="0" fontId="15" fillId="0" borderId="0" xfId="0" applyFont="1" applyAlignment="1">
      <alignment horizontal="center" vertical="center"/>
    </xf>
    <xf numFmtId="0" fontId="2" fillId="3" borderId="1" xfId="1" applyFont="1" applyFill="1" applyBorder="1" applyAlignment="1">
      <alignment horizontal="left" vertical="center" wrapText="1"/>
    </xf>
    <xf numFmtId="0" fontId="2" fillId="0" borderId="1" xfId="1" applyFont="1" applyBorder="1" applyAlignment="1">
      <alignment vertical="center" wrapText="1"/>
    </xf>
    <xf numFmtId="0" fontId="5" fillId="3" borderId="1" xfId="1" applyFont="1" applyFill="1" applyBorder="1" applyAlignment="1">
      <alignment vertical="center" wrapText="1"/>
    </xf>
    <xf numFmtId="0" fontId="2" fillId="0" borderId="1" xfId="1" applyFont="1" applyBorder="1" applyAlignment="1">
      <alignment horizontal="left" vertical="center" wrapText="1"/>
    </xf>
    <xf numFmtId="0" fontId="2" fillId="0" borderId="1" xfId="1" applyFont="1" applyBorder="1" applyAlignment="1">
      <alignment wrapText="1"/>
    </xf>
    <xf numFmtId="0" fontId="16" fillId="0" borderId="0" xfId="0" applyFont="1" applyAlignment="1">
      <alignment horizontal="center"/>
    </xf>
    <xf numFmtId="0" fontId="2" fillId="0" borderId="1" xfId="1" applyFont="1" applyBorder="1" applyAlignment="1">
      <alignment horizontal="center" vertical="center"/>
    </xf>
    <xf numFmtId="9" fontId="2" fillId="0" borderId="1" xfId="1" applyNumberFormat="1" applyFont="1" applyBorder="1" applyAlignment="1">
      <alignment horizontal="center" vertical="center" wrapText="1"/>
    </xf>
    <xf numFmtId="0" fontId="2" fillId="0" borderId="1" xfId="1" quotePrefix="1" applyFont="1" applyBorder="1" applyAlignment="1">
      <alignment horizontal="left" vertical="center" wrapText="1"/>
    </xf>
    <xf numFmtId="0" fontId="2" fillId="0" borderId="1" xfId="1" applyFont="1" applyBorder="1"/>
    <xf numFmtId="0" fontId="5" fillId="0" borderId="1" xfId="1" applyFont="1" applyBorder="1" applyAlignment="1">
      <alignment horizontal="center" vertical="center"/>
    </xf>
    <xf numFmtId="0" fontId="3" fillId="0" borderId="1" xfId="0" applyFont="1" applyBorder="1" applyAlignment="1">
      <alignment horizontal="center" vertical="center"/>
    </xf>
    <xf numFmtId="0" fontId="17" fillId="0" borderId="1" xfId="0" applyFont="1" applyBorder="1" applyAlignment="1">
      <alignment horizontal="center" vertical="center"/>
    </xf>
    <xf numFmtId="0" fontId="7" fillId="0" borderId="1" xfId="1" applyFont="1" applyBorder="1" applyAlignment="1">
      <alignment wrapText="1"/>
    </xf>
    <xf numFmtId="0" fontId="2" fillId="0" borderId="1" xfId="1" applyFont="1" applyBorder="1" applyAlignment="1">
      <alignment horizontal="center"/>
    </xf>
    <xf numFmtId="0" fontId="18" fillId="0" borderId="1" xfId="0" quotePrefix="1" applyFont="1" applyBorder="1" applyAlignment="1">
      <alignment horizontal="center" vertical="center" wrapText="1"/>
    </xf>
    <xf numFmtId="0" fontId="7" fillId="0" borderId="1" xfId="1" applyFont="1" applyBorder="1" applyAlignment="1">
      <alignment vertical="center" wrapText="1"/>
    </xf>
    <xf numFmtId="0" fontId="2" fillId="0" borderId="1" xfId="1" applyFont="1" applyBorder="1" applyAlignment="1">
      <alignment vertical="center" wrapText="1"/>
    </xf>
    <xf numFmtId="0" fontId="10" fillId="0" borderId="4" xfId="0" quotePrefix="1" applyFont="1" applyBorder="1" applyAlignment="1">
      <alignment horizontal="left" vertical="center" wrapText="1"/>
    </xf>
    <xf numFmtId="0" fontId="10" fillId="0" borderId="5" xfId="0" quotePrefix="1" applyFont="1" applyBorder="1" applyAlignment="1">
      <alignment horizontal="left" vertical="center" wrapText="1"/>
    </xf>
    <xf numFmtId="0" fontId="2" fillId="0" borderId="4" xfId="1" applyFont="1" applyBorder="1" applyAlignment="1">
      <alignment horizontal="left" vertical="center" wrapText="1"/>
    </xf>
    <xf numFmtId="0" fontId="2" fillId="0" borderId="5" xfId="1" applyFont="1" applyBorder="1" applyAlignment="1">
      <alignment horizontal="left" vertical="center" wrapText="1"/>
    </xf>
    <xf numFmtId="0" fontId="2" fillId="0" borderId="2" xfId="1" applyFont="1" applyBorder="1" applyAlignment="1">
      <alignment horizontal="center" vertical="center" wrapText="1"/>
    </xf>
    <xf numFmtId="0" fontId="2" fillId="0" borderId="6" xfId="1" applyFont="1" applyBorder="1" applyAlignment="1">
      <alignment horizontal="center" vertical="center" wrapText="1"/>
    </xf>
    <xf numFmtId="0" fontId="10" fillId="0" borderId="1" xfId="1" applyFont="1" applyBorder="1" applyAlignment="1">
      <alignment vertical="center" wrapText="1"/>
    </xf>
    <xf numFmtId="0" fontId="2" fillId="0" borderId="1" xfId="1" applyFont="1" applyBorder="1" applyAlignment="1">
      <alignment horizontal="left" vertical="center" wrapText="1"/>
    </xf>
    <xf numFmtId="0" fontId="2" fillId="0" borderId="1" xfId="1" applyFont="1" applyBorder="1" applyAlignment="1">
      <alignment horizontal="center" vertical="center" wrapText="1"/>
    </xf>
    <xf numFmtId="0" fontId="16" fillId="0" borderId="0" xfId="0" applyFont="1" applyAlignment="1">
      <alignment horizontal="center"/>
    </xf>
    <xf numFmtId="0" fontId="16" fillId="0" borderId="0" xfId="0" applyFont="1" applyAlignment="1">
      <alignment horizontal="center" wrapText="1"/>
    </xf>
    <xf numFmtId="0" fontId="5" fillId="2" borderId="1" xfId="1" applyFont="1" applyFill="1" applyBorder="1" applyAlignment="1">
      <alignment horizontal="center" vertical="center"/>
    </xf>
    <xf numFmtId="0" fontId="5" fillId="2" borderId="1" xfId="1" applyFont="1" applyFill="1" applyBorder="1" applyAlignment="1">
      <alignment horizontal="center" vertical="center" wrapText="1"/>
    </xf>
    <xf numFmtId="164" fontId="5" fillId="2" borderId="1" xfId="1" applyNumberFormat="1" applyFont="1" applyFill="1" applyBorder="1" applyAlignment="1">
      <alignment horizontal="center" vertical="center" wrapText="1"/>
    </xf>
    <xf numFmtId="164" fontId="5" fillId="2" borderId="2" xfId="1" applyNumberFormat="1" applyFont="1" applyFill="1" applyBorder="1" applyAlignment="1">
      <alignment horizontal="center" vertical="center" wrapText="1"/>
    </xf>
    <xf numFmtId="164" fontId="5" fillId="2" borderId="3" xfId="1" applyNumberFormat="1" applyFont="1" applyFill="1" applyBorder="1" applyAlignment="1">
      <alignment horizontal="center" vertical="center" wrapText="1"/>
    </xf>
    <xf numFmtId="0" fontId="2" fillId="0" borderId="1" xfId="1" applyFont="1" applyBorder="1" applyAlignment="1">
      <alignment wrapText="1"/>
    </xf>
    <xf numFmtId="0" fontId="2" fillId="3" borderId="1" xfId="1" applyFont="1" applyFill="1" applyBorder="1" applyAlignment="1">
      <alignment horizontal="center" vertical="center" wrapText="1"/>
    </xf>
    <xf numFmtId="0" fontId="3" fillId="0" borderId="1" xfId="0" applyFont="1" applyBorder="1" applyAlignment="1">
      <alignment horizontal="left" vertical="center" wrapText="1"/>
    </xf>
    <xf numFmtId="0" fontId="11" fillId="0" borderId="1" xfId="0" quotePrefix="1" applyFont="1" applyBorder="1" applyAlignment="1">
      <alignment horizontal="left" vertical="center" wrapText="1"/>
    </xf>
    <xf numFmtId="0" fontId="13" fillId="0" borderId="1" xfId="0" quotePrefix="1" applyFont="1" applyBorder="1" applyAlignment="1">
      <alignment horizontal="left" vertical="center" wrapText="1"/>
    </xf>
    <xf numFmtId="0" fontId="11" fillId="0" borderId="4" xfId="0" quotePrefix="1" applyFont="1" applyBorder="1" applyAlignment="1">
      <alignment horizontal="center" vertical="center" wrapText="1"/>
    </xf>
    <xf numFmtId="0" fontId="11" fillId="0" borderId="5" xfId="0" quotePrefix="1" applyFont="1" applyBorder="1" applyAlignment="1">
      <alignment horizontal="center" vertical="center" wrapText="1"/>
    </xf>
    <xf numFmtId="0" fontId="2" fillId="3" borderId="1" xfId="1" applyFont="1" applyFill="1" applyBorder="1" applyAlignment="1">
      <alignment horizontal="left" vertical="center" wrapText="1"/>
    </xf>
    <xf numFmtId="0" fontId="2" fillId="0" borderId="4" xfId="0" quotePrefix="1" applyFont="1" applyBorder="1" applyAlignment="1">
      <alignment horizontal="left" vertical="center" wrapText="1"/>
    </xf>
    <xf numFmtId="0" fontId="2" fillId="0" borderId="5" xfId="0" quotePrefix="1" applyFont="1" applyBorder="1" applyAlignment="1">
      <alignment horizontal="left" vertical="center" wrapText="1"/>
    </xf>
    <xf numFmtId="0" fontId="2" fillId="3" borderId="1" xfId="1" applyFont="1" applyFill="1" applyBorder="1" applyAlignment="1">
      <alignment horizontal="center" vertical="center"/>
    </xf>
    <xf numFmtId="0" fontId="2" fillId="3" borderId="1" xfId="1" applyFont="1" applyFill="1" applyBorder="1" applyAlignment="1">
      <alignment vertical="center" wrapText="1"/>
    </xf>
    <xf numFmtId="0" fontId="2" fillId="3" borderId="4" xfId="1" applyFont="1" applyFill="1" applyBorder="1" applyAlignment="1">
      <alignment horizontal="left" vertical="center" wrapText="1"/>
    </xf>
    <xf numFmtId="0" fontId="2" fillId="3" borderId="5" xfId="1" applyFont="1" applyFill="1" applyBorder="1" applyAlignment="1">
      <alignment horizontal="left" vertical="center" wrapText="1"/>
    </xf>
    <xf numFmtId="0" fontId="2" fillId="3" borderId="1" xfId="1" quotePrefix="1" applyFont="1" applyFill="1" applyBorder="1" applyAlignment="1">
      <alignment horizontal="left" vertical="center" wrapText="1"/>
    </xf>
    <xf numFmtId="0" fontId="5" fillId="3" borderId="1" xfId="1" applyFont="1" applyFill="1" applyBorder="1" applyAlignment="1">
      <alignment horizontal="center" vertical="center" wrapText="1"/>
    </xf>
    <xf numFmtId="0" fontId="4" fillId="0" borderId="0" xfId="1" applyFont="1" applyAlignment="1">
      <alignment horizontal="center" vertical="center" wrapText="1"/>
    </xf>
    <xf numFmtId="0" fontId="4" fillId="0" borderId="0" xfId="1" applyFont="1" applyAlignment="1">
      <alignment horizontal="center" vertical="center"/>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1" xfId="0" quotePrefix="1" applyFont="1" applyBorder="1" applyAlignment="1">
      <alignment horizontal="left" vertical="center" wrapText="1"/>
    </xf>
    <xf numFmtId="0" fontId="2" fillId="3" borderId="2" xfId="1" applyFont="1" applyFill="1" applyBorder="1" applyAlignment="1">
      <alignment horizontal="center" vertical="center" wrapText="1"/>
    </xf>
    <xf numFmtId="0" fontId="2" fillId="3" borderId="6" xfId="1" applyFont="1" applyFill="1" applyBorder="1" applyAlignment="1">
      <alignment horizontal="center" vertical="center" wrapText="1"/>
    </xf>
    <xf numFmtId="0" fontId="2" fillId="3" borderId="3" xfId="1" applyFont="1" applyFill="1" applyBorder="1" applyAlignment="1">
      <alignment horizontal="center" vertical="center" wrapText="1"/>
    </xf>
    <xf numFmtId="0" fontId="2" fillId="0" borderId="1" xfId="1" applyFont="1" applyBorder="1" applyAlignment="1">
      <alignment horizontal="center" vertical="center"/>
    </xf>
    <xf numFmtId="0" fontId="2" fillId="0" borderId="3" xfId="1" applyFont="1" applyBorder="1" applyAlignment="1">
      <alignment horizontal="center" vertical="center" wrapText="1"/>
    </xf>
    <xf numFmtId="0" fontId="5" fillId="0" borderId="4" xfId="1" applyFont="1" applyBorder="1" applyAlignment="1">
      <alignment horizontal="left" vertical="center" wrapText="1"/>
    </xf>
    <xf numFmtId="0" fontId="5" fillId="0" borderId="5" xfId="1" applyFont="1" applyBorder="1" applyAlignment="1">
      <alignment horizontal="left" vertical="center" wrapText="1"/>
    </xf>
    <xf numFmtId="0" fontId="2" fillId="0" borderId="1" xfId="1" quotePrefix="1" applyFont="1" applyBorder="1" applyAlignment="1">
      <alignment horizontal="left" vertical="center" wrapText="1"/>
    </xf>
    <xf numFmtId="0" fontId="21" fillId="0" borderId="0" xfId="0" applyFont="1"/>
    <xf numFmtId="0" fontId="5" fillId="0" borderId="1" xfId="1" quotePrefix="1" applyFont="1" applyBorder="1" applyAlignment="1">
      <alignment vertical="center"/>
    </xf>
    <xf numFmtId="0" fontId="5" fillId="0" borderId="1" xfId="1" quotePrefix="1" applyFont="1" applyBorder="1" applyAlignment="1">
      <alignment vertical="center" wrapText="1"/>
    </xf>
    <xf numFmtId="0" fontId="5" fillId="0" borderId="1" xfId="1" applyFont="1" applyBorder="1" applyAlignment="1">
      <alignment vertical="center" wrapText="1"/>
    </xf>
    <xf numFmtId="0" fontId="2" fillId="0" borderId="1" xfId="1" quotePrefix="1" applyFont="1" applyBorder="1" applyAlignment="1">
      <alignment horizontal="center" vertical="center" wrapText="1"/>
    </xf>
    <xf numFmtId="9" fontId="10" fillId="0" borderId="1" xfId="2" applyNumberFormat="1" applyFont="1" applyFill="1" applyBorder="1" applyAlignment="1">
      <alignment horizontal="center" vertical="center"/>
    </xf>
    <xf numFmtId="9" fontId="11" fillId="0" borderId="1" xfId="2" applyNumberFormat="1" applyFont="1" applyFill="1" applyBorder="1" applyAlignment="1">
      <alignment horizontal="center" vertical="center"/>
    </xf>
    <xf numFmtId="164" fontId="13" fillId="0" borderId="1" xfId="2" applyNumberFormat="1" applyFont="1" applyFill="1" applyBorder="1" applyAlignment="1">
      <alignment horizontal="left" vertical="center" wrapText="1"/>
    </xf>
    <xf numFmtId="0" fontId="13" fillId="0" borderId="1" xfId="0" quotePrefix="1" applyFont="1" applyBorder="1" applyAlignment="1">
      <alignment horizontal="center" vertical="center" wrapText="1"/>
    </xf>
    <xf numFmtId="0" fontId="22" fillId="0" borderId="1" xfId="1" applyFont="1" applyBorder="1" applyAlignment="1">
      <alignment vertical="center" wrapText="1"/>
    </xf>
    <xf numFmtId="0" fontId="10" fillId="0" borderId="1" xfId="1" applyFont="1" applyBorder="1" applyAlignment="1">
      <alignment horizontal="center" vertical="center" wrapText="1"/>
    </xf>
    <xf numFmtId="0" fontId="10" fillId="0" borderId="1" xfId="1" applyFont="1" applyBorder="1" applyAlignment="1">
      <alignment wrapText="1"/>
    </xf>
    <xf numFmtId="0" fontId="13" fillId="0" borderId="0" xfId="1" applyFont="1"/>
    <xf numFmtId="0" fontId="2" fillId="0" borderId="1" xfId="1" quotePrefix="1" applyFont="1" applyBorder="1" applyAlignment="1">
      <alignment vertical="center" wrapText="1"/>
    </xf>
  </cellXfs>
  <cellStyles count="3">
    <cellStyle name="Comma 2 2" xfId="2" xr:uid="{B5D86675-1366-4FBF-A8FD-FF569C38F07D}"/>
    <cellStyle name="Normal" xfId="0" builtinId="0"/>
    <cellStyle name="Normal 3" xfId="1" xr:uid="{4BE7F0BE-A030-4666-8B32-2649AD3EAE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12699</xdr:colOff>
      <xdr:row>0</xdr:row>
      <xdr:rowOff>0</xdr:rowOff>
    </xdr:from>
    <xdr:ext cx="917650" cy="893430"/>
    <xdr:pic>
      <xdr:nvPicPr>
        <xdr:cNvPr id="2" name="image1.png">
          <a:extLst>
            <a:ext uri="{FF2B5EF4-FFF2-40B4-BE49-F238E27FC236}">
              <a16:creationId xmlns:a16="http://schemas.microsoft.com/office/drawing/2014/main" id="{212048A4-C96C-4441-8BB0-B63C8C7398A5}"/>
            </a:ext>
          </a:extLst>
        </xdr:cNvPr>
        <xdr:cNvPicPr preferRelativeResize="0"/>
      </xdr:nvPicPr>
      <xdr:blipFill>
        <a:blip xmlns:r="http://schemas.openxmlformats.org/officeDocument/2006/relationships" r:embed="rId1" cstate="print"/>
        <a:stretch>
          <a:fillRect/>
        </a:stretch>
      </xdr:blipFill>
      <xdr:spPr>
        <a:xfrm>
          <a:off x="12699" y="0"/>
          <a:ext cx="917650" cy="89343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79152</xdr:colOff>
      <xdr:row>0</xdr:row>
      <xdr:rowOff>0</xdr:rowOff>
    </xdr:from>
    <xdr:ext cx="917650" cy="893430"/>
    <xdr:pic>
      <xdr:nvPicPr>
        <xdr:cNvPr id="2" name="image1.png">
          <a:extLst>
            <a:ext uri="{FF2B5EF4-FFF2-40B4-BE49-F238E27FC236}">
              <a16:creationId xmlns:a16="http://schemas.microsoft.com/office/drawing/2014/main" id="{94243EAC-E43C-457A-97BE-CD1BA0732050}"/>
            </a:ext>
          </a:extLst>
        </xdr:cNvPr>
        <xdr:cNvPicPr preferRelativeResize="0"/>
      </xdr:nvPicPr>
      <xdr:blipFill>
        <a:blip xmlns:r="http://schemas.openxmlformats.org/officeDocument/2006/relationships" r:embed="rId1" cstate="print"/>
        <a:stretch>
          <a:fillRect/>
        </a:stretch>
      </xdr:blipFill>
      <xdr:spPr>
        <a:xfrm>
          <a:off x="79152" y="0"/>
          <a:ext cx="917650" cy="89343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12699</xdr:colOff>
      <xdr:row>0</xdr:row>
      <xdr:rowOff>0</xdr:rowOff>
    </xdr:from>
    <xdr:ext cx="917650" cy="893430"/>
    <xdr:pic>
      <xdr:nvPicPr>
        <xdr:cNvPr id="2" name="image1.png">
          <a:extLst>
            <a:ext uri="{FF2B5EF4-FFF2-40B4-BE49-F238E27FC236}">
              <a16:creationId xmlns:a16="http://schemas.microsoft.com/office/drawing/2014/main" id="{6504116F-3CB6-4FB9-AE37-B54BDF2CB8C4}"/>
            </a:ext>
          </a:extLst>
        </xdr:cNvPr>
        <xdr:cNvPicPr preferRelativeResize="0"/>
      </xdr:nvPicPr>
      <xdr:blipFill>
        <a:blip xmlns:r="http://schemas.openxmlformats.org/officeDocument/2006/relationships" r:embed="rId1" cstate="print"/>
        <a:stretch>
          <a:fillRect/>
        </a:stretch>
      </xdr:blipFill>
      <xdr:spPr>
        <a:xfrm>
          <a:off x="12699" y="0"/>
          <a:ext cx="917650" cy="8934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295275</xdr:colOff>
      <xdr:row>0</xdr:row>
      <xdr:rowOff>0</xdr:rowOff>
    </xdr:from>
    <xdr:ext cx="917650" cy="893430"/>
    <xdr:pic>
      <xdr:nvPicPr>
        <xdr:cNvPr id="2" name="image1.png">
          <a:extLst>
            <a:ext uri="{FF2B5EF4-FFF2-40B4-BE49-F238E27FC236}">
              <a16:creationId xmlns:a16="http://schemas.microsoft.com/office/drawing/2014/main" id="{5C182A94-FDD0-49A4-951E-7BE5DFED1AAA}"/>
            </a:ext>
          </a:extLst>
        </xdr:cNvPr>
        <xdr:cNvPicPr preferRelativeResize="0"/>
      </xdr:nvPicPr>
      <xdr:blipFill>
        <a:blip xmlns:r="http://schemas.openxmlformats.org/officeDocument/2006/relationships" r:embed="rId1" cstate="print"/>
        <a:stretch>
          <a:fillRect/>
        </a:stretch>
      </xdr:blipFill>
      <xdr:spPr>
        <a:xfrm>
          <a:off x="295275" y="0"/>
          <a:ext cx="917650" cy="89343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295275</xdr:colOff>
      <xdr:row>0</xdr:row>
      <xdr:rowOff>0</xdr:rowOff>
    </xdr:from>
    <xdr:ext cx="917650" cy="893430"/>
    <xdr:pic>
      <xdr:nvPicPr>
        <xdr:cNvPr id="2" name="image1.png">
          <a:extLst>
            <a:ext uri="{FF2B5EF4-FFF2-40B4-BE49-F238E27FC236}">
              <a16:creationId xmlns:a16="http://schemas.microsoft.com/office/drawing/2014/main" id="{9A5FF7D0-40E6-4238-BD09-3C3C399288E9}"/>
            </a:ext>
          </a:extLst>
        </xdr:cNvPr>
        <xdr:cNvPicPr preferRelativeResize="0"/>
      </xdr:nvPicPr>
      <xdr:blipFill>
        <a:blip xmlns:r="http://schemas.openxmlformats.org/officeDocument/2006/relationships" r:embed="rId1" cstate="print"/>
        <a:stretch>
          <a:fillRect/>
        </a:stretch>
      </xdr:blipFill>
      <xdr:spPr>
        <a:xfrm>
          <a:off x="295275" y="0"/>
          <a:ext cx="917650" cy="89343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295275</xdr:colOff>
      <xdr:row>0</xdr:row>
      <xdr:rowOff>0</xdr:rowOff>
    </xdr:from>
    <xdr:ext cx="917650" cy="893430"/>
    <xdr:pic>
      <xdr:nvPicPr>
        <xdr:cNvPr id="2" name="image1.png">
          <a:extLst>
            <a:ext uri="{FF2B5EF4-FFF2-40B4-BE49-F238E27FC236}">
              <a16:creationId xmlns:a16="http://schemas.microsoft.com/office/drawing/2014/main" id="{57EA31AE-C481-449A-96BB-757A941B0225}"/>
            </a:ext>
          </a:extLst>
        </xdr:cNvPr>
        <xdr:cNvPicPr preferRelativeResize="0"/>
      </xdr:nvPicPr>
      <xdr:blipFill>
        <a:blip xmlns:r="http://schemas.openxmlformats.org/officeDocument/2006/relationships" r:embed="rId1" cstate="print"/>
        <a:stretch>
          <a:fillRect/>
        </a:stretch>
      </xdr:blipFill>
      <xdr:spPr>
        <a:xfrm>
          <a:off x="295275" y="0"/>
          <a:ext cx="917650" cy="89343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295275</xdr:colOff>
      <xdr:row>0</xdr:row>
      <xdr:rowOff>0</xdr:rowOff>
    </xdr:from>
    <xdr:ext cx="917650" cy="893430"/>
    <xdr:pic>
      <xdr:nvPicPr>
        <xdr:cNvPr id="2" name="image1.png">
          <a:extLst>
            <a:ext uri="{FF2B5EF4-FFF2-40B4-BE49-F238E27FC236}">
              <a16:creationId xmlns:a16="http://schemas.microsoft.com/office/drawing/2014/main" id="{9E3B541A-2A10-4971-88C5-F9F8173E28C3}"/>
            </a:ext>
          </a:extLst>
        </xdr:cNvPr>
        <xdr:cNvPicPr preferRelativeResize="0"/>
      </xdr:nvPicPr>
      <xdr:blipFill>
        <a:blip xmlns:r="http://schemas.openxmlformats.org/officeDocument/2006/relationships" r:embed="rId1" cstate="print"/>
        <a:stretch>
          <a:fillRect/>
        </a:stretch>
      </xdr:blipFill>
      <xdr:spPr>
        <a:xfrm>
          <a:off x="295275" y="0"/>
          <a:ext cx="917650" cy="89343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295275</xdr:colOff>
      <xdr:row>0</xdr:row>
      <xdr:rowOff>0</xdr:rowOff>
    </xdr:from>
    <xdr:ext cx="917650" cy="893430"/>
    <xdr:pic>
      <xdr:nvPicPr>
        <xdr:cNvPr id="2" name="image1.png">
          <a:extLst>
            <a:ext uri="{FF2B5EF4-FFF2-40B4-BE49-F238E27FC236}">
              <a16:creationId xmlns:a16="http://schemas.microsoft.com/office/drawing/2014/main" id="{70F5CE48-40C6-4FA3-9B3B-6CDC061D7FEA}"/>
            </a:ext>
          </a:extLst>
        </xdr:cNvPr>
        <xdr:cNvPicPr preferRelativeResize="0"/>
      </xdr:nvPicPr>
      <xdr:blipFill>
        <a:blip xmlns:r="http://schemas.openxmlformats.org/officeDocument/2006/relationships" r:embed="rId1" cstate="print"/>
        <a:stretch>
          <a:fillRect/>
        </a:stretch>
      </xdr:blipFill>
      <xdr:spPr>
        <a:xfrm>
          <a:off x="295275" y="0"/>
          <a:ext cx="917650" cy="893430"/>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295275</xdr:colOff>
      <xdr:row>0</xdr:row>
      <xdr:rowOff>0</xdr:rowOff>
    </xdr:from>
    <xdr:ext cx="917650" cy="893430"/>
    <xdr:pic>
      <xdr:nvPicPr>
        <xdr:cNvPr id="2" name="image1.png">
          <a:extLst>
            <a:ext uri="{FF2B5EF4-FFF2-40B4-BE49-F238E27FC236}">
              <a16:creationId xmlns:a16="http://schemas.microsoft.com/office/drawing/2014/main" id="{2F3F6B57-04BB-4517-BB3C-08D698C76FEB}"/>
            </a:ext>
          </a:extLst>
        </xdr:cNvPr>
        <xdr:cNvPicPr preferRelativeResize="0"/>
      </xdr:nvPicPr>
      <xdr:blipFill>
        <a:blip xmlns:r="http://schemas.openxmlformats.org/officeDocument/2006/relationships" r:embed="rId1" cstate="print"/>
        <a:stretch>
          <a:fillRect/>
        </a:stretch>
      </xdr:blipFill>
      <xdr:spPr>
        <a:xfrm>
          <a:off x="295275" y="0"/>
          <a:ext cx="917650" cy="893430"/>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295275</xdr:colOff>
      <xdr:row>0</xdr:row>
      <xdr:rowOff>0</xdr:rowOff>
    </xdr:from>
    <xdr:ext cx="917650" cy="893430"/>
    <xdr:pic>
      <xdr:nvPicPr>
        <xdr:cNvPr id="2" name="image1.png">
          <a:extLst>
            <a:ext uri="{FF2B5EF4-FFF2-40B4-BE49-F238E27FC236}">
              <a16:creationId xmlns:a16="http://schemas.microsoft.com/office/drawing/2014/main" id="{C63C97FD-FFB1-44C6-A051-87DE3F2BF9AD}"/>
            </a:ext>
          </a:extLst>
        </xdr:cNvPr>
        <xdr:cNvPicPr preferRelativeResize="0"/>
      </xdr:nvPicPr>
      <xdr:blipFill>
        <a:blip xmlns:r="http://schemas.openxmlformats.org/officeDocument/2006/relationships" r:embed="rId1" cstate="print"/>
        <a:stretch>
          <a:fillRect/>
        </a:stretch>
      </xdr:blipFill>
      <xdr:spPr>
        <a:xfrm>
          <a:off x="295275" y="0"/>
          <a:ext cx="917650" cy="893430"/>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295275</xdr:colOff>
      <xdr:row>0</xdr:row>
      <xdr:rowOff>0</xdr:rowOff>
    </xdr:from>
    <xdr:ext cx="917650" cy="893430"/>
    <xdr:pic>
      <xdr:nvPicPr>
        <xdr:cNvPr id="2" name="image1.png">
          <a:extLst>
            <a:ext uri="{FF2B5EF4-FFF2-40B4-BE49-F238E27FC236}">
              <a16:creationId xmlns:a16="http://schemas.microsoft.com/office/drawing/2014/main" id="{246B4B95-59BD-46CF-A81C-94B4848C5644}"/>
            </a:ext>
          </a:extLst>
        </xdr:cNvPr>
        <xdr:cNvPicPr preferRelativeResize="0"/>
      </xdr:nvPicPr>
      <xdr:blipFill>
        <a:blip xmlns:r="http://schemas.openxmlformats.org/officeDocument/2006/relationships" r:embed="rId1" cstate="print"/>
        <a:stretch>
          <a:fillRect/>
        </a:stretch>
      </xdr:blipFill>
      <xdr:spPr>
        <a:xfrm>
          <a:off x="295275" y="0"/>
          <a:ext cx="917650" cy="893430"/>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295275</xdr:colOff>
      <xdr:row>0</xdr:row>
      <xdr:rowOff>0</xdr:rowOff>
    </xdr:from>
    <xdr:ext cx="917650" cy="893430"/>
    <xdr:pic>
      <xdr:nvPicPr>
        <xdr:cNvPr id="2" name="image1.png">
          <a:extLst>
            <a:ext uri="{FF2B5EF4-FFF2-40B4-BE49-F238E27FC236}">
              <a16:creationId xmlns:a16="http://schemas.microsoft.com/office/drawing/2014/main" id="{70141A19-0DFD-49FC-8FBB-5D49FE02872A}"/>
            </a:ext>
          </a:extLst>
        </xdr:cNvPr>
        <xdr:cNvPicPr preferRelativeResize="0"/>
      </xdr:nvPicPr>
      <xdr:blipFill>
        <a:blip xmlns:r="http://schemas.openxmlformats.org/officeDocument/2006/relationships" r:embed="rId1" cstate="print"/>
        <a:stretch>
          <a:fillRect/>
        </a:stretch>
      </xdr:blipFill>
      <xdr:spPr>
        <a:xfrm>
          <a:off x="295275" y="0"/>
          <a:ext cx="917650" cy="89343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Y://NTA/TL%20Ke%20Toan/Nguyentheanh/ATuc/Anhtuan/5.QUYET%20TOAN-DTP-201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A://SICK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628BCC1C\Accounting%20Reportv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data/My%20Documents/Luu%20BE/MONTH%20END%20REPORTS/VPD%20REPORTS%20(25%20hang%20thang)/Report%2001-06-2011/VISION%20V1.06/Vision%20Hanh/Accounting%20Report_v08.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GD/NHV/bao%20cao/BCKD/2019/KH%202019%20final%2018%20Feb/DOCUME~1/ADMINI~1/LOCALS~1/Temp/Rar$DI00.422/Documents%20and%20Settings/Administrator/Local%20Settings/Temporary%20Internet%20Files/OLK1D6/AR%20guest%2020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Dri/dri/Km/dsmoi/HL-K1/k1-H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HongVan\Downloads\UNC%20DVM%20300%20tat%20toan%20no%20cac%20cty%20H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Dri/dri/k2-h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WINNT/Profiles/wkongsamut/Temporary%20Internet%20Files/Content.IE5/CDERGTUV/Danfoss%20Submission%20form%202004%20(1).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C%20GROUP/Tong%20ket/Tong%20ket%202025/KE%20HOACH/DU%20AN/25.11.2025%20KDA-K&#7870;%20HO&#7840;CH%20N&#258;M%202026.OK_KH&#7888;I%20D&#7920;%20&#193;N.xlsx" TargetMode="External"/><Relationship Id="rId1" Type="http://schemas.openxmlformats.org/officeDocument/2006/relationships/externalLinkPath" Target="/HC%20GROUP/Tong%20ket/Tong%20ket%202025/KE%20HOACH/DU%20AN/25.11.2025%20KDA-K&#7870;%20HO&#7840;CH%20N&#258;M%202026.OK_KH&#7888;I%20D&#7920;%20&#193;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KH"/>
      <sheetName val="DKien"/>
      <sheetName val="CDKT"/>
      <sheetName val="BCKQKD"/>
      <sheetName val="CDPS"/>
      <sheetName val="TMBCTC"/>
      <sheetName val="NKC"/>
      <sheetName val="LCTT(TT)"/>
      <sheetName val="KHO-USD"/>
      <sheetName val="DOITHU"/>
      <sheetName val="00000000"/>
      <sheetName val="10000000"/>
      <sheetName val="XXXXXXXXXXXX"/>
      <sheetName val="XXXXXXXXXXX0"/>
      <sheetName val="XXXXXXXXXXX1"/>
      <sheetName val="XXXXXXXXXXX2"/>
      <sheetName val="XXXXXXXXXXXXX"/>
      <sheetName val="20000000"/>
      <sheetName val="0000000000"/>
      <sheetName val="~         "/>
    </sheetNames>
    <sheetDataSet>
      <sheetData sheetId="0"/>
      <sheetData sheetId="1"/>
      <sheetData sheetId="2"/>
      <sheetData sheetId="3"/>
      <sheetData sheetId="4">
        <row r="10">
          <cell r="B10" t="str">
            <v>TK</v>
          </cell>
          <cell r="D10" t="str">
            <v>DKN_CDPS</v>
          </cell>
          <cell r="E10" t="str">
            <v>DKC_CDPS</v>
          </cell>
          <cell r="F10" t="str">
            <v>PSN_CDPS</v>
          </cell>
          <cell r="G10" t="str">
            <v>PSC_CDPS</v>
          </cell>
          <cell r="H10" t="str">
            <v>CKN_CDPS</v>
          </cell>
          <cell r="I10" t="str">
            <v>CKC_CDPS</v>
          </cell>
        </row>
        <row r="11">
          <cell r="B11" t="str">
            <v>111</v>
          </cell>
          <cell r="C11" t="str">
            <v>Tiền mặt</v>
          </cell>
          <cell r="D11">
            <v>441572122.75</v>
          </cell>
          <cell r="E11">
            <v>0</v>
          </cell>
          <cell r="F11">
            <v>26561524082</v>
          </cell>
          <cell r="G11">
            <v>26461751997</v>
          </cell>
          <cell r="H11">
            <v>541344207.75</v>
          </cell>
          <cell r="I11">
            <v>0</v>
          </cell>
        </row>
        <row r="12">
          <cell r="B12" t="str">
            <v>1111</v>
          </cell>
          <cell r="C12" t="str">
            <v>Tiền Việt Nam</v>
          </cell>
          <cell r="D12">
            <v>441572122.75</v>
          </cell>
          <cell r="F12">
            <v>26561524082</v>
          </cell>
          <cell r="G12">
            <v>26461751997</v>
          </cell>
          <cell r="H12">
            <v>541344207.75</v>
          </cell>
          <cell r="I12">
            <v>0</v>
          </cell>
        </row>
        <row r="13">
          <cell r="B13" t="str">
            <v>1112</v>
          </cell>
          <cell r="C13" t="str">
            <v>Ngoại tệ</v>
          </cell>
          <cell r="F13">
            <v>0</v>
          </cell>
          <cell r="G13">
            <v>0</v>
          </cell>
          <cell r="H13">
            <v>0</v>
          </cell>
          <cell r="I13">
            <v>0</v>
          </cell>
        </row>
        <row r="14">
          <cell r="B14" t="str">
            <v>1113</v>
          </cell>
          <cell r="C14" t="str">
            <v>Vàng, bạc, kim khí quý, đá quý</v>
          </cell>
          <cell r="F14">
            <v>0</v>
          </cell>
          <cell r="G14">
            <v>0</v>
          </cell>
          <cell r="H14">
            <v>0</v>
          </cell>
          <cell r="I14">
            <v>0</v>
          </cell>
        </row>
        <row r="15">
          <cell r="B15" t="str">
            <v>112</v>
          </cell>
          <cell r="C15" t="str">
            <v>Tiền gửi Ngân hàng</v>
          </cell>
          <cell r="D15">
            <v>66459314</v>
          </cell>
          <cell r="E15">
            <v>0</v>
          </cell>
          <cell r="F15">
            <v>4629377942</v>
          </cell>
          <cell r="G15">
            <v>4130000000</v>
          </cell>
          <cell r="H15">
            <v>565837256</v>
          </cell>
          <cell r="I15">
            <v>0</v>
          </cell>
        </row>
        <row r="16">
          <cell r="B16" t="str">
            <v>1121</v>
          </cell>
          <cell r="C16" t="str">
            <v>Tiền Việt Nam</v>
          </cell>
          <cell r="D16">
            <v>66459314</v>
          </cell>
          <cell r="E16">
            <v>0</v>
          </cell>
          <cell r="F16">
            <v>4629377942</v>
          </cell>
          <cell r="G16">
            <v>4130000000</v>
          </cell>
          <cell r="H16">
            <v>565837256</v>
          </cell>
          <cell r="I16">
            <v>0</v>
          </cell>
        </row>
        <row r="17">
          <cell r="B17" t="str">
            <v>1121-SHB</v>
          </cell>
          <cell r="C17" t="str">
            <v>Ngân hàng Shinhan Bank</v>
          </cell>
          <cell r="D17">
            <v>66459314</v>
          </cell>
          <cell r="F17">
            <v>4629377942</v>
          </cell>
          <cell r="G17">
            <v>4130000000</v>
          </cell>
          <cell r="H17">
            <v>565837256</v>
          </cell>
          <cell r="I17">
            <v>0</v>
          </cell>
        </row>
        <row r="18">
          <cell r="F18">
            <v>0</v>
          </cell>
          <cell r="G18">
            <v>0</v>
          </cell>
          <cell r="H18">
            <v>0</v>
          </cell>
          <cell r="I18">
            <v>0</v>
          </cell>
        </row>
        <row r="19">
          <cell r="F19">
            <v>0</v>
          </cell>
          <cell r="G19">
            <v>0</v>
          </cell>
          <cell r="H19">
            <v>0</v>
          </cell>
          <cell r="I19">
            <v>0</v>
          </cell>
        </row>
        <row r="20">
          <cell r="B20" t="str">
            <v>1122</v>
          </cell>
          <cell r="C20" t="str">
            <v>Ngoại tệ</v>
          </cell>
          <cell r="D20">
            <v>0</v>
          </cell>
          <cell r="E20">
            <v>0</v>
          </cell>
          <cell r="F20">
            <v>0</v>
          </cell>
          <cell r="G20">
            <v>0</v>
          </cell>
          <cell r="H20">
            <v>0</v>
          </cell>
          <cell r="I20">
            <v>0</v>
          </cell>
        </row>
        <row r="21">
          <cell r="B21" t="str">
            <v>1122VCB</v>
          </cell>
          <cell r="C21" t="str">
            <v>Tiền gửi NH Vietcombank USD</v>
          </cell>
          <cell r="F21">
            <v>0</v>
          </cell>
          <cell r="G21">
            <v>0</v>
          </cell>
          <cell r="H21">
            <v>0</v>
          </cell>
          <cell r="I21">
            <v>0</v>
          </cell>
        </row>
        <row r="22">
          <cell r="B22" t="str">
            <v>1122DTPT</v>
          </cell>
          <cell r="C22" t="str">
            <v>CN NHDT &amp;PT Đông Đồng Nai USD</v>
          </cell>
          <cell r="F22">
            <v>0</v>
          </cell>
          <cell r="G22">
            <v>0</v>
          </cell>
          <cell r="H22">
            <v>0</v>
          </cell>
          <cell r="I22">
            <v>0</v>
          </cell>
        </row>
        <row r="23">
          <cell r="B23" t="str">
            <v>1122VCB-2</v>
          </cell>
          <cell r="C23" t="str">
            <v>Tiền gửi NH Vietcombank USD-2</v>
          </cell>
          <cell r="F23">
            <v>0</v>
          </cell>
          <cell r="G23">
            <v>0</v>
          </cell>
          <cell r="H23">
            <v>0</v>
          </cell>
          <cell r="I23">
            <v>0</v>
          </cell>
        </row>
        <row r="24">
          <cell r="B24" t="str">
            <v>113</v>
          </cell>
          <cell r="C24" t="str">
            <v>Tiền đang chuyển</v>
          </cell>
          <cell r="F24">
            <v>0</v>
          </cell>
          <cell r="G24">
            <v>0</v>
          </cell>
          <cell r="H24">
            <v>0</v>
          </cell>
          <cell r="I24">
            <v>0</v>
          </cell>
        </row>
        <row r="25">
          <cell r="B25" t="str">
            <v>121</v>
          </cell>
          <cell r="C25" t="str">
            <v>Đầu tư tài chính ngắn hạn</v>
          </cell>
          <cell r="D25">
            <v>0</v>
          </cell>
          <cell r="E25">
            <v>0</v>
          </cell>
          <cell r="F25">
            <v>0</v>
          </cell>
          <cell r="G25">
            <v>0</v>
          </cell>
          <cell r="H25">
            <v>0</v>
          </cell>
          <cell r="I25">
            <v>0</v>
          </cell>
        </row>
        <row r="26">
          <cell r="B26" t="str">
            <v>1211</v>
          </cell>
          <cell r="C26" t="str">
            <v>Đầu tư chứng khoán ngắn hạn &lt;=3 tháng</v>
          </cell>
          <cell r="D26">
            <v>0</v>
          </cell>
          <cell r="E26">
            <v>0</v>
          </cell>
          <cell r="F26">
            <v>0</v>
          </cell>
          <cell r="G26">
            <v>0</v>
          </cell>
          <cell r="H26">
            <v>0</v>
          </cell>
          <cell r="I26">
            <v>0</v>
          </cell>
        </row>
        <row r="27">
          <cell r="B27" t="str">
            <v>12111</v>
          </cell>
          <cell r="C27" t="str">
            <v>Đ/tư CK ngắn hạn &lt;=3 tháng- cổ phiếu</v>
          </cell>
          <cell r="F27">
            <v>0</v>
          </cell>
          <cell r="G27">
            <v>0</v>
          </cell>
          <cell r="H27">
            <v>0</v>
          </cell>
          <cell r="I27">
            <v>0</v>
          </cell>
        </row>
        <row r="28">
          <cell r="B28" t="str">
            <v>12112</v>
          </cell>
          <cell r="C28" t="str">
            <v>Đ/tư CK NH &lt;=3 tháng- trái phiếu, tín phiếu &amp; kỳ phiếu</v>
          </cell>
          <cell r="F28">
            <v>0</v>
          </cell>
          <cell r="G28">
            <v>0</v>
          </cell>
          <cell r="H28">
            <v>0</v>
          </cell>
          <cell r="I28">
            <v>0</v>
          </cell>
        </row>
        <row r="29">
          <cell r="B29" t="str">
            <v>1212</v>
          </cell>
          <cell r="C29" t="str">
            <v>Đầu tư chứng khoán dài hạn &gt;=3 tháng</v>
          </cell>
          <cell r="D29">
            <v>0</v>
          </cell>
          <cell r="E29">
            <v>0</v>
          </cell>
          <cell r="F29">
            <v>0</v>
          </cell>
          <cell r="G29">
            <v>0</v>
          </cell>
          <cell r="H29">
            <v>0</v>
          </cell>
          <cell r="I29">
            <v>0</v>
          </cell>
        </row>
        <row r="30">
          <cell r="B30" t="str">
            <v>12121</v>
          </cell>
          <cell r="C30" t="str">
            <v>Đ/tư CK NH &gt;3 tháng- cổ phiếu</v>
          </cell>
          <cell r="F30">
            <v>0</v>
          </cell>
          <cell r="G30">
            <v>0</v>
          </cell>
          <cell r="H30">
            <v>0</v>
          </cell>
          <cell r="I30">
            <v>0</v>
          </cell>
        </row>
        <row r="31">
          <cell r="B31" t="str">
            <v>12122</v>
          </cell>
          <cell r="C31" t="str">
            <v>Đ/tư CK NH &gt;3 tháng- trái phiếu, tín phiếu &amp; kỳ phiếu</v>
          </cell>
          <cell r="F31">
            <v>0</v>
          </cell>
          <cell r="G31">
            <v>0</v>
          </cell>
          <cell r="H31">
            <v>0</v>
          </cell>
          <cell r="I31">
            <v>0</v>
          </cell>
        </row>
        <row r="32">
          <cell r="B32" t="str">
            <v>128</v>
          </cell>
          <cell r="C32" t="str">
            <v>Đầu tư ngắn hạn khác</v>
          </cell>
          <cell r="D32">
            <v>0</v>
          </cell>
          <cell r="E32">
            <v>0</v>
          </cell>
          <cell r="F32">
            <v>0</v>
          </cell>
          <cell r="G32">
            <v>0</v>
          </cell>
          <cell r="H32">
            <v>0</v>
          </cell>
          <cell r="I32">
            <v>0</v>
          </cell>
        </row>
        <row r="33">
          <cell r="B33" t="str">
            <v>1281</v>
          </cell>
          <cell r="C33" t="str">
            <v>Tiền gửi có kỳ hạn</v>
          </cell>
          <cell r="D33">
            <v>0</v>
          </cell>
          <cell r="E33">
            <v>0</v>
          </cell>
          <cell r="F33">
            <v>0</v>
          </cell>
          <cell r="G33">
            <v>0</v>
          </cell>
          <cell r="H33">
            <v>0</v>
          </cell>
          <cell r="I33">
            <v>0</v>
          </cell>
        </row>
        <row r="34">
          <cell r="B34" t="str">
            <v>12811</v>
          </cell>
          <cell r="C34" t="str">
            <v>Tiền gửi có kỳ hạn &lt;=3 tháng</v>
          </cell>
          <cell r="F34">
            <v>0</v>
          </cell>
          <cell r="G34">
            <v>0</v>
          </cell>
          <cell r="H34">
            <v>0</v>
          </cell>
          <cell r="I34">
            <v>0</v>
          </cell>
        </row>
        <row r="35">
          <cell r="B35" t="str">
            <v>12812</v>
          </cell>
          <cell r="C35" t="str">
            <v>Tiền gửi có kỳ hạn &gt;3 tháng</v>
          </cell>
          <cell r="F35">
            <v>0</v>
          </cell>
          <cell r="G35">
            <v>0</v>
          </cell>
          <cell r="H35">
            <v>0</v>
          </cell>
          <cell r="I35">
            <v>0</v>
          </cell>
        </row>
        <row r="36">
          <cell r="B36" t="str">
            <v>1282</v>
          </cell>
          <cell r="C36" t="str">
            <v>Đầu tư ngắn hạn khác</v>
          </cell>
          <cell r="D36">
            <v>0</v>
          </cell>
          <cell r="E36">
            <v>0</v>
          </cell>
          <cell r="F36">
            <v>0</v>
          </cell>
          <cell r="G36">
            <v>0</v>
          </cell>
          <cell r="H36">
            <v>0</v>
          </cell>
          <cell r="I36">
            <v>0</v>
          </cell>
        </row>
        <row r="37">
          <cell r="B37" t="str">
            <v>12821</v>
          </cell>
          <cell r="C37" t="str">
            <v>Đầu tư ngắn hạn khác có kỳ hạn &lt;=3 tháng</v>
          </cell>
          <cell r="F37">
            <v>0</v>
          </cell>
          <cell r="G37">
            <v>0</v>
          </cell>
          <cell r="H37">
            <v>0</v>
          </cell>
          <cell r="I37">
            <v>0</v>
          </cell>
        </row>
        <row r="38">
          <cell r="B38" t="str">
            <v>12822</v>
          </cell>
          <cell r="C38" t="str">
            <v>Đầu tư ngắn hạn khác có kỳ hạn &gt;3 tháng</v>
          </cell>
          <cell r="F38">
            <v>0</v>
          </cell>
          <cell r="G38">
            <v>0</v>
          </cell>
          <cell r="H38">
            <v>0</v>
          </cell>
          <cell r="I38">
            <v>0</v>
          </cell>
        </row>
        <row r="39">
          <cell r="B39" t="str">
            <v>129</v>
          </cell>
          <cell r="C39" t="str">
            <v>Dự phòng giảm giá đầu tư ngắn hạn</v>
          </cell>
          <cell r="F39">
            <v>0</v>
          </cell>
          <cell r="G39">
            <v>0</v>
          </cell>
          <cell r="H39">
            <v>0</v>
          </cell>
          <cell r="I39">
            <v>0</v>
          </cell>
        </row>
        <row r="40">
          <cell r="B40" t="str">
            <v>131</v>
          </cell>
          <cell r="C40" t="str">
            <v>Phải thu của khách hàng</v>
          </cell>
          <cell r="D40">
            <v>1052153421</v>
          </cell>
          <cell r="E40">
            <v>0</v>
          </cell>
          <cell r="F40">
            <v>4456460263</v>
          </cell>
          <cell r="G40">
            <v>4500000000</v>
          </cell>
          <cell r="H40">
            <v>1008613684</v>
          </cell>
          <cell r="I40">
            <v>0</v>
          </cell>
        </row>
        <row r="41">
          <cell r="B41" t="str">
            <v>1311</v>
          </cell>
          <cell r="C41" t="str">
            <v>Phải thu khách hàng trong nước</v>
          </cell>
          <cell r="D41">
            <v>1052153421</v>
          </cell>
          <cell r="E41">
            <v>0</v>
          </cell>
          <cell r="F41">
            <v>4456460263</v>
          </cell>
          <cell r="G41">
            <v>4500000000</v>
          </cell>
          <cell r="H41">
            <v>1008613684</v>
          </cell>
          <cell r="I41">
            <v>0</v>
          </cell>
        </row>
        <row r="42">
          <cell r="B42" t="str">
            <v>1311-A</v>
          </cell>
          <cell r="D42">
            <v>1052153421</v>
          </cell>
          <cell r="F42">
            <v>4456460263</v>
          </cell>
          <cell r="G42">
            <v>4500000000</v>
          </cell>
          <cell r="H42">
            <v>1008613684</v>
          </cell>
          <cell r="I42">
            <v>0</v>
          </cell>
        </row>
        <row r="43">
          <cell r="F43">
            <v>0</v>
          </cell>
          <cell r="G43">
            <v>0</v>
          </cell>
          <cell r="H43">
            <v>0</v>
          </cell>
          <cell r="I43">
            <v>0</v>
          </cell>
        </row>
        <row r="44">
          <cell r="F44">
            <v>0</v>
          </cell>
          <cell r="G44">
            <v>0</v>
          </cell>
          <cell r="H44">
            <v>0</v>
          </cell>
          <cell r="I44">
            <v>0</v>
          </cell>
        </row>
        <row r="45">
          <cell r="B45" t="str">
            <v>1312</v>
          </cell>
          <cell r="C45" t="str">
            <v>Phải thu khách hàng nước ngoài</v>
          </cell>
          <cell r="D45">
            <v>0</v>
          </cell>
          <cell r="E45">
            <v>0</v>
          </cell>
          <cell r="F45">
            <v>0</v>
          </cell>
          <cell r="G45">
            <v>0</v>
          </cell>
          <cell r="H45">
            <v>0</v>
          </cell>
          <cell r="I45">
            <v>0</v>
          </cell>
        </row>
        <row r="46">
          <cell r="F46">
            <v>0</v>
          </cell>
          <cell r="G46">
            <v>0</v>
          </cell>
          <cell r="H46">
            <v>0</v>
          </cell>
          <cell r="I46">
            <v>0</v>
          </cell>
        </row>
        <row r="47">
          <cell r="F47">
            <v>0</v>
          </cell>
          <cell r="G47">
            <v>0</v>
          </cell>
          <cell r="H47">
            <v>0</v>
          </cell>
          <cell r="I47">
            <v>0</v>
          </cell>
        </row>
        <row r="48">
          <cell r="B48" t="str">
            <v>133</v>
          </cell>
          <cell r="C48" t="str">
            <v>Thuế GTGT được khấu trừ</v>
          </cell>
          <cell r="D48">
            <v>0</v>
          </cell>
          <cell r="E48">
            <v>0</v>
          </cell>
          <cell r="F48">
            <v>0</v>
          </cell>
          <cell r="G48">
            <v>0</v>
          </cell>
          <cell r="H48">
            <v>0</v>
          </cell>
          <cell r="I48">
            <v>0</v>
          </cell>
        </row>
        <row r="49">
          <cell r="B49" t="str">
            <v>1331</v>
          </cell>
          <cell r="C49" t="str">
            <v>Thuế GTGT được khấu trừ của hàng hoá, dịch vụ</v>
          </cell>
          <cell r="F49">
            <v>0</v>
          </cell>
          <cell r="G49">
            <v>0</v>
          </cell>
          <cell r="H49">
            <v>0</v>
          </cell>
          <cell r="I49">
            <v>0</v>
          </cell>
        </row>
        <row r="50">
          <cell r="B50" t="str">
            <v>1332</v>
          </cell>
          <cell r="C50" t="str">
            <v>Thuế GTGT được khấu trừ của TSCĐ</v>
          </cell>
          <cell r="F50">
            <v>0</v>
          </cell>
          <cell r="G50">
            <v>0</v>
          </cell>
          <cell r="H50">
            <v>0</v>
          </cell>
          <cell r="I50">
            <v>0</v>
          </cell>
        </row>
        <row r="51">
          <cell r="B51" t="str">
            <v>1333</v>
          </cell>
          <cell r="C51" t="str">
            <v>Thuế GTGT được khấu trừ hàng hóa nhập khẩu</v>
          </cell>
          <cell r="F51">
            <v>0</v>
          </cell>
          <cell r="G51">
            <v>0</v>
          </cell>
          <cell r="H51">
            <v>0</v>
          </cell>
          <cell r="I51">
            <v>0</v>
          </cell>
        </row>
        <row r="52">
          <cell r="B52" t="str">
            <v>136</v>
          </cell>
          <cell r="C52" t="str">
            <v>Phải thu nội bộ</v>
          </cell>
          <cell r="D52">
            <v>0</v>
          </cell>
          <cell r="E52">
            <v>0</v>
          </cell>
          <cell r="F52">
            <v>0</v>
          </cell>
          <cell r="G52">
            <v>0</v>
          </cell>
          <cell r="H52">
            <v>0</v>
          </cell>
          <cell r="I52">
            <v>0</v>
          </cell>
        </row>
        <row r="53">
          <cell r="B53" t="str">
            <v>1361</v>
          </cell>
          <cell r="C53" t="str">
            <v>Vốn kinh doanh ở các đơn vị trực thuộc</v>
          </cell>
          <cell r="F53">
            <v>0</v>
          </cell>
          <cell r="G53">
            <v>0</v>
          </cell>
          <cell r="H53">
            <v>0</v>
          </cell>
          <cell r="I53">
            <v>0</v>
          </cell>
        </row>
        <row r="54">
          <cell r="B54" t="str">
            <v>1368</v>
          </cell>
          <cell r="C54" t="str">
            <v>Phải thu nội bộ khác</v>
          </cell>
          <cell r="F54">
            <v>0</v>
          </cell>
          <cell r="G54">
            <v>0</v>
          </cell>
          <cell r="H54">
            <v>0</v>
          </cell>
          <cell r="I54">
            <v>0</v>
          </cell>
        </row>
        <row r="55">
          <cell r="B55" t="str">
            <v>138</v>
          </cell>
          <cell r="C55" t="str">
            <v>Phải thu khác</v>
          </cell>
          <cell r="D55">
            <v>0</v>
          </cell>
          <cell r="E55">
            <v>0</v>
          </cell>
          <cell r="F55">
            <v>0</v>
          </cell>
          <cell r="G55">
            <v>0</v>
          </cell>
          <cell r="H55">
            <v>0</v>
          </cell>
          <cell r="I55">
            <v>0</v>
          </cell>
        </row>
        <row r="56">
          <cell r="B56" t="str">
            <v>1381</v>
          </cell>
          <cell r="C56" t="str">
            <v>Tài sản thiếu chờ xử lý</v>
          </cell>
          <cell r="F56">
            <v>0</v>
          </cell>
          <cell r="G56">
            <v>0</v>
          </cell>
          <cell r="H56">
            <v>0</v>
          </cell>
          <cell r="I56">
            <v>0</v>
          </cell>
        </row>
        <row r="57">
          <cell r="B57" t="str">
            <v>1385</v>
          </cell>
          <cell r="C57" t="str">
            <v>Phải thu về cổ phần hóa</v>
          </cell>
          <cell r="F57">
            <v>0</v>
          </cell>
          <cell r="G57">
            <v>0</v>
          </cell>
          <cell r="H57">
            <v>0</v>
          </cell>
          <cell r="I57">
            <v>0</v>
          </cell>
        </row>
        <row r="58">
          <cell r="B58" t="str">
            <v>1388</v>
          </cell>
          <cell r="C58" t="str">
            <v>Phải thu khác</v>
          </cell>
          <cell r="F58">
            <v>0</v>
          </cell>
          <cell r="G58">
            <v>0</v>
          </cell>
          <cell r="H58">
            <v>0</v>
          </cell>
          <cell r="I58">
            <v>0</v>
          </cell>
        </row>
        <row r="59">
          <cell r="B59" t="str">
            <v>13881</v>
          </cell>
          <cell r="C59" t="str">
            <v>Chuyển tiền nhầm tài khoản</v>
          </cell>
          <cell r="F59">
            <v>0</v>
          </cell>
          <cell r="G59">
            <v>0</v>
          </cell>
          <cell r="H59">
            <v>0</v>
          </cell>
          <cell r="I59">
            <v>0</v>
          </cell>
        </row>
        <row r="60">
          <cell r="B60" t="str">
            <v>13882</v>
          </cell>
          <cell r="C60" t="str">
            <v>Thuế TNDN nộp thừa</v>
          </cell>
          <cell r="F60">
            <v>0</v>
          </cell>
          <cell r="G60">
            <v>0</v>
          </cell>
          <cell r="H60">
            <v>0</v>
          </cell>
          <cell r="I60">
            <v>0</v>
          </cell>
        </row>
        <row r="61">
          <cell r="B61" t="str">
            <v>139</v>
          </cell>
          <cell r="C61" t="str">
            <v>Dự phòng phải thu khó đòi</v>
          </cell>
          <cell r="D61">
            <v>0</v>
          </cell>
          <cell r="E61">
            <v>0</v>
          </cell>
          <cell r="F61">
            <v>0</v>
          </cell>
          <cell r="G61">
            <v>0</v>
          </cell>
          <cell r="H61">
            <v>0</v>
          </cell>
          <cell r="I61">
            <v>0</v>
          </cell>
        </row>
        <row r="62">
          <cell r="B62" t="str">
            <v>1391</v>
          </cell>
          <cell r="C62" t="str">
            <v>Dư phòng phải thu ngắn hạn</v>
          </cell>
          <cell r="F62">
            <v>0</v>
          </cell>
          <cell r="G62">
            <v>0</v>
          </cell>
          <cell r="H62">
            <v>0</v>
          </cell>
          <cell r="I62">
            <v>0</v>
          </cell>
        </row>
        <row r="63">
          <cell r="B63" t="str">
            <v>1392</v>
          </cell>
          <cell r="C63" t="str">
            <v>Dư phòng phải thu dài hạn</v>
          </cell>
          <cell r="F63">
            <v>0</v>
          </cell>
          <cell r="G63">
            <v>0</v>
          </cell>
          <cell r="H63">
            <v>0</v>
          </cell>
          <cell r="I63">
            <v>0</v>
          </cell>
        </row>
        <row r="64">
          <cell r="B64" t="str">
            <v>141</v>
          </cell>
          <cell r="C64" t="str">
            <v>Tạm ứng</v>
          </cell>
          <cell r="D64">
            <v>0</v>
          </cell>
          <cell r="E64">
            <v>0</v>
          </cell>
          <cell r="F64">
            <v>0</v>
          </cell>
          <cell r="G64">
            <v>0</v>
          </cell>
          <cell r="H64">
            <v>0</v>
          </cell>
          <cell r="I64">
            <v>0</v>
          </cell>
        </row>
        <row r="65">
          <cell r="B65" t="str">
            <v>1411</v>
          </cell>
          <cell r="C65" t="str">
            <v>Tạm ứng cho nhân viên</v>
          </cell>
          <cell r="F65">
            <v>0</v>
          </cell>
          <cell r="G65">
            <v>0</v>
          </cell>
          <cell r="H65">
            <v>0</v>
          </cell>
          <cell r="I65">
            <v>0</v>
          </cell>
        </row>
        <row r="66">
          <cell r="B66" t="str">
            <v>1412</v>
          </cell>
          <cell r="C66" t="str">
            <v>Tạm ứng lương</v>
          </cell>
          <cell r="F66">
            <v>0</v>
          </cell>
          <cell r="G66">
            <v>0</v>
          </cell>
          <cell r="H66">
            <v>0</v>
          </cell>
          <cell r="I66">
            <v>0</v>
          </cell>
        </row>
        <row r="67">
          <cell r="B67" t="str">
            <v>142</v>
          </cell>
          <cell r="C67" t="str">
            <v>Chi phí trả trước ngắn hạn</v>
          </cell>
          <cell r="F67">
            <v>0</v>
          </cell>
          <cell r="G67">
            <v>0</v>
          </cell>
          <cell r="H67">
            <v>0</v>
          </cell>
          <cell r="I67">
            <v>0</v>
          </cell>
        </row>
        <row r="68">
          <cell r="B68" t="str">
            <v>152</v>
          </cell>
          <cell r="C68" t="str">
            <v>Nguyên liệu, vật liệu</v>
          </cell>
          <cell r="D68">
            <v>0</v>
          </cell>
          <cell r="E68">
            <v>0</v>
          </cell>
          <cell r="F68">
            <v>0</v>
          </cell>
          <cell r="G68">
            <v>0</v>
          </cell>
          <cell r="H68">
            <v>0</v>
          </cell>
          <cell r="I68">
            <v>0</v>
          </cell>
        </row>
        <row r="69">
          <cell r="B69" t="str">
            <v>1521</v>
          </cell>
          <cell r="C69" t="str">
            <v>Nguyên vật liệu chính</v>
          </cell>
          <cell r="F69">
            <v>0</v>
          </cell>
          <cell r="G69">
            <v>0</v>
          </cell>
          <cell r="H69">
            <v>0</v>
          </cell>
          <cell r="I69">
            <v>0</v>
          </cell>
        </row>
        <row r="70">
          <cell r="B70" t="str">
            <v>1522</v>
          </cell>
          <cell r="C70" t="str">
            <v>Nguyên vật liệu phụ</v>
          </cell>
          <cell r="F70">
            <v>0</v>
          </cell>
          <cell r="G70">
            <v>0</v>
          </cell>
          <cell r="H70">
            <v>0</v>
          </cell>
          <cell r="I70">
            <v>0</v>
          </cell>
        </row>
        <row r="71">
          <cell r="B71" t="str">
            <v>153</v>
          </cell>
          <cell r="C71" t="str">
            <v>Công cụ, dụng cụ</v>
          </cell>
          <cell r="F71">
            <v>0</v>
          </cell>
          <cell r="G71">
            <v>0</v>
          </cell>
          <cell r="H71">
            <v>0</v>
          </cell>
          <cell r="I71">
            <v>0</v>
          </cell>
        </row>
        <row r="72">
          <cell r="B72" t="str">
            <v>154</v>
          </cell>
          <cell r="C72" t="str">
            <v>Chi phí sản xuất, kinh doanh dở dang</v>
          </cell>
          <cell r="D72">
            <v>0</v>
          </cell>
          <cell r="E72">
            <v>0</v>
          </cell>
          <cell r="F72">
            <v>0</v>
          </cell>
          <cell r="G72">
            <v>0</v>
          </cell>
          <cell r="H72">
            <v>0</v>
          </cell>
          <cell r="I72">
            <v>0</v>
          </cell>
        </row>
        <row r="73">
          <cell r="B73" t="str">
            <v>1541</v>
          </cell>
          <cell r="C73" t="str">
            <v>Chi phí SX, KD dở dang - vàng mã</v>
          </cell>
          <cell r="F73">
            <v>0</v>
          </cell>
          <cell r="G73">
            <v>0</v>
          </cell>
          <cell r="H73">
            <v>0</v>
          </cell>
          <cell r="I73">
            <v>0</v>
          </cell>
        </row>
        <row r="74">
          <cell r="B74" t="str">
            <v>1542</v>
          </cell>
          <cell r="C74" t="str">
            <v>Chi phí SX, KD dở dang</v>
          </cell>
          <cell r="F74">
            <v>0</v>
          </cell>
          <cell r="G74">
            <v>0</v>
          </cell>
          <cell r="H74">
            <v>0</v>
          </cell>
          <cell r="I74">
            <v>0</v>
          </cell>
        </row>
        <row r="75">
          <cell r="B75" t="str">
            <v>155</v>
          </cell>
          <cell r="C75" t="str">
            <v>Thành phẩm</v>
          </cell>
          <cell r="F75">
            <v>0</v>
          </cell>
          <cell r="G75">
            <v>0</v>
          </cell>
          <cell r="H75">
            <v>0</v>
          </cell>
          <cell r="I75">
            <v>0</v>
          </cell>
        </row>
        <row r="76">
          <cell r="B76" t="str">
            <v>156</v>
          </cell>
          <cell r="C76" t="str">
            <v>Hàng hoá</v>
          </cell>
          <cell r="D76">
            <v>2006115645</v>
          </cell>
          <cell r="E76">
            <v>0</v>
          </cell>
          <cell r="F76">
            <v>25963810873</v>
          </cell>
          <cell r="G76">
            <v>22685349000</v>
          </cell>
          <cell r="H76">
            <v>5284577518</v>
          </cell>
          <cell r="I76">
            <v>0</v>
          </cell>
        </row>
        <row r="77">
          <cell r="B77" t="str">
            <v>1561</v>
          </cell>
          <cell r="C77" t="str">
            <v>Giá mua hàng hóa</v>
          </cell>
          <cell r="D77">
            <v>2006115645</v>
          </cell>
          <cell r="F77">
            <v>25963810873</v>
          </cell>
          <cell r="G77">
            <v>22685349000</v>
          </cell>
          <cell r="H77">
            <v>5284577518</v>
          </cell>
          <cell r="I77">
            <v>0</v>
          </cell>
        </row>
        <row r="78">
          <cell r="B78" t="str">
            <v>1562</v>
          </cell>
          <cell r="C78" t="str">
            <v>Chi phí thu mua hàng hóa</v>
          </cell>
          <cell r="F78">
            <v>0</v>
          </cell>
          <cell r="G78">
            <v>0</v>
          </cell>
          <cell r="H78">
            <v>0</v>
          </cell>
          <cell r="I78">
            <v>0</v>
          </cell>
        </row>
        <row r="79">
          <cell r="B79" t="str">
            <v>1567</v>
          </cell>
          <cell r="C79" t="str">
            <v>Hàng hóa bất động sản</v>
          </cell>
          <cell r="F79">
            <v>0</v>
          </cell>
          <cell r="G79">
            <v>0</v>
          </cell>
          <cell r="H79">
            <v>0</v>
          </cell>
          <cell r="I79">
            <v>0</v>
          </cell>
        </row>
        <row r="80">
          <cell r="B80" t="str">
            <v>157</v>
          </cell>
          <cell r="C80" t="str">
            <v>Hàng gửi đi bán</v>
          </cell>
          <cell r="F80">
            <v>0</v>
          </cell>
          <cell r="G80">
            <v>0</v>
          </cell>
          <cell r="H80">
            <v>0</v>
          </cell>
          <cell r="I80">
            <v>0</v>
          </cell>
        </row>
        <row r="81">
          <cell r="B81" t="str">
            <v>158</v>
          </cell>
          <cell r="C81" t="str">
            <v>Hàng hóa kho bảo thuế</v>
          </cell>
          <cell r="F81">
            <v>0</v>
          </cell>
          <cell r="G81">
            <v>0</v>
          </cell>
          <cell r="H81">
            <v>0</v>
          </cell>
          <cell r="I81">
            <v>0</v>
          </cell>
        </row>
        <row r="82">
          <cell r="B82" t="str">
            <v>159</v>
          </cell>
          <cell r="C82" t="str">
            <v>Các khoản dự phòng</v>
          </cell>
          <cell r="F82">
            <v>0</v>
          </cell>
          <cell r="G82">
            <v>0</v>
          </cell>
          <cell r="H82">
            <v>0</v>
          </cell>
          <cell r="I82">
            <v>0</v>
          </cell>
        </row>
        <row r="83">
          <cell r="B83" t="str">
            <v>161</v>
          </cell>
          <cell r="C83" t="str">
            <v>Chi sự nghiệp</v>
          </cell>
          <cell r="D83">
            <v>0</v>
          </cell>
          <cell r="E83">
            <v>0</v>
          </cell>
          <cell r="F83">
            <v>0</v>
          </cell>
          <cell r="G83">
            <v>0</v>
          </cell>
          <cell r="H83">
            <v>0</v>
          </cell>
          <cell r="I83">
            <v>0</v>
          </cell>
        </row>
        <row r="84">
          <cell r="B84" t="str">
            <v>1611</v>
          </cell>
          <cell r="C84" t="str">
            <v>Chi sự nghiệp năm trước</v>
          </cell>
          <cell r="F84">
            <v>0</v>
          </cell>
          <cell r="G84">
            <v>0</v>
          </cell>
          <cell r="H84">
            <v>0</v>
          </cell>
          <cell r="I84">
            <v>0</v>
          </cell>
        </row>
        <row r="85">
          <cell r="B85" t="str">
            <v>1612</v>
          </cell>
          <cell r="C85" t="str">
            <v>Chi sự nghiệp năm nay</v>
          </cell>
          <cell r="F85">
            <v>0</v>
          </cell>
          <cell r="G85">
            <v>0</v>
          </cell>
          <cell r="H85">
            <v>0</v>
          </cell>
          <cell r="I85">
            <v>0</v>
          </cell>
        </row>
        <row r="86">
          <cell r="B86" t="str">
            <v>211</v>
          </cell>
          <cell r="C86" t="str">
            <v>Tài sản cố định</v>
          </cell>
          <cell r="D86">
            <v>5500000000</v>
          </cell>
          <cell r="E86">
            <v>0</v>
          </cell>
          <cell r="F86">
            <v>2920000000</v>
          </cell>
          <cell r="G86">
            <v>0</v>
          </cell>
          <cell r="H86">
            <v>8420000000</v>
          </cell>
          <cell r="I86">
            <v>0</v>
          </cell>
        </row>
        <row r="87">
          <cell r="B87" t="str">
            <v>2111</v>
          </cell>
          <cell r="C87" t="str">
            <v>Nhà cửa, vật kiến trúc</v>
          </cell>
          <cell r="D87">
            <v>2400000000</v>
          </cell>
          <cell r="F87">
            <v>800000000</v>
          </cell>
          <cell r="G87">
            <v>0</v>
          </cell>
          <cell r="H87">
            <v>3200000000</v>
          </cell>
          <cell r="I87">
            <v>0</v>
          </cell>
        </row>
        <row r="88">
          <cell r="B88" t="str">
            <v>2112</v>
          </cell>
          <cell r="C88" t="str">
            <v>Máy móc, thiết bị</v>
          </cell>
          <cell r="D88">
            <v>100000000</v>
          </cell>
          <cell r="F88">
            <v>120000000</v>
          </cell>
          <cell r="G88">
            <v>0</v>
          </cell>
          <cell r="H88">
            <v>220000000</v>
          </cell>
          <cell r="I88">
            <v>0</v>
          </cell>
        </row>
        <row r="89">
          <cell r="B89" t="str">
            <v>2113</v>
          </cell>
          <cell r="C89" t="str">
            <v>Phương tiện vận tải, truyền dẫn</v>
          </cell>
          <cell r="F89">
            <v>0</v>
          </cell>
          <cell r="G89">
            <v>0</v>
          </cell>
          <cell r="H89">
            <v>0</v>
          </cell>
          <cell r="I89">
            <v>0</v>
          </cell>
        </row>
        <row r="90">
          <cell r="B90" t="str">
            <v>2114</v>
          </cell>
          <cell r="C90" t="str">
            <v>Thiết bị, dụng cụ quản lý</v>
          </cell>
          <cell r="D90">
            <v>3000000000</v>
          </cell>
          <cell r="F90">
            <v>2000000000</v>
          </cell>
          <cell r="G90">
            <v>0</v>
          </cell>
          <cell r="H90">
            <v>5000000000</v>
          </cell>
          <cell r="I90">
            <v>0</v>
          </cell>
        </row>
        <row r="91">
          <cell r="B91" t="str">
            <v>2115</v>
          </cell>
          <cell r="C91" t="str">
            <v>Cây lâu năm, súc vật làm việc</v>
          </cell>
          <cell r="F91">
            <v>0</v>
          </cell>
          <cell r="G91">
            <v>0</v>
          </cell>
          <cell r="H91">
            <v>0</v>
          </cell>
          <cell r="I91">
            <v>0</v>
          </cell>
        </row>
        <row r="92">
          <cell r="B92" t="str">
            <v>2118</v>
          </cell>
          <cell r="C92" t="str">
            <v>TSCĐ khác</v>
          </cell>
          <cell r="F92">
            <v>0</v>
          </cell>
          <cell r="G92">
            <v>0</v>
          </cell>
          <cell r="H92">
            <v>0</v>
          </cell>
          <cell r="I92">
            <v>0</v>
          </cell>
        </row>
        <row r="93">
          <cell r="B93" t="str">
            <v>212</v>
          </cell>
          <cell r="C93" t="str">
            <v>TSCĐ thuê tài chính</v>
          </cell>
          <cell r="F93">
            <v>0</v>
          </cell>
          <cell r="G93">
            <v>0</v>
          </cell>
          <cell r="H93">
            <v>0</v>
          </cell>
          <cell r="I93">
            <v>0</v>
          </cell>
        </row>
        <row r="94">
          <cell r="B94" t="str">
            <v>2122</v>
          </cell>
          <cell r="C94" t="str">
            <v>Máy móc, thiết bị</v>
          </cell>
          <cell r="F94">
            <v>0</v>
          </cell>
          <cell r="G94">
            <v>0</v>
          </cell>
          <cell r="H94">
            <v>0</v>
          </cell>
          <cell r="I94">
            <v>0</v>
          </cell>
        </row>
        <row r="95">
          <cell r="B95" t="str">
            <v>2123</v>
          </cell>
          <cell r="C95" t="str">
            <v>Phương tiện vận tải, truyền dẫn</v>
          </cell>
          <cell r="F95">
            <v>0</v>
          </cell>
          <cell r="G95">
            <v>0</v>
          </cell>
          <cell r="H95">
            <v>0</v>
          </cell>
          <cell r="I95">
            <v>0</v>
          </cell>
        </row>
        <row r="96">
          <cell r="B96" t="str">
            <v>213</v>
          </cell>
          <cell r="C96" t="str">
            <v>TSCĐ vô hình</v>
          </cell>
          <cell r="D96">
            <v>0</v>
          </cell>
          <cell r="E96">
            <v>0</v>
          </cell>
          <cell r="F96">
            <v>0</v>
          </cell>
          <cell r="G96">
            <v>0</v>
          </cell>
          <cell r="H96">
            <v>0</v>
          </cell>
          <cell r="I96">
            <v>0</v>
          </cell>
        </row>
        <row r="97">
          <cell r="B97" t="str">
            <v>2131</v>
          </cell>
          <cell r="C97" t="str">
            <v>Quyền sử dụng đất</v>
          </cell>
          <cell r="F97">
            <v>0</v>
          </cell>
          <cell r="G97">
            <v>0</v>
          </cell>
          <cell r="H97">
            <v>0</v>
          </cell>
          <cell r="I97">
            <v>0</v>
          </cell>
        </row>
        <row r="98">
          <cell r="B98" t="str">
            <v>2132</v>
          </cell>
          <cell r="C98" t="str">
            <v>Quyền phát hành</v>
          </cell>
          <cell r="F98">
            <v>0</v>
          </cell>
          <cell r="G98">
            <v>0</v>
          </cell>
          <cell r="H98">
            <v>0</v>
          </cell>
          <cell r="I98">
            <v>0</v>
          </cell>
        </row>
        <row r="99">
          <cell r="B99" t="str">
            <v>2133</v>
          </cell>
          <cell r="C99" t="str">
            <v>Bản quyền, bằng sáng chế</v>
          </cell>
          <cell r="F99">
            <v>0</v>
          </cell>
          <cell r="G99">
            <v>0</v>
          </cell>
          <cell r="H99">
            <v>0</v>
          </cell>
          <cell r="I99">
            <v>0</v>
          </cell>
        </row>
        <row r="100">
          <cell r="B100" t="str">
            <v>2134</v>
          </cell>
          <cell r="C100" t="str">
            <v>Nhãn hiệu hàng hóa</v>
          </cell>
          <cell r="F100">
            <v>0</v>
          </cell>
          <cell r="G100">
            <v>0</v>
          </cell>
          <cell r="H100">
            <v>0</v>
          </cell>
          <cell r="I100">
            <v>0</v>
          </cell>
        </row>
        <row r="101">
          <cell r="B101" t="str">
            <v>2135</v>
          </cell>
          <cell r="C101" t="str">
            <v>Phần mềm máy tính</v>
          </cell>
          <cell r="F101">
            <v>0</v>
          </cell>
          <cell r="G101">
            <v>0</v>
          </cell>
          <cell r="H101">
            <v>0</v>
          </cell>
          <cell r="I101">
            <v>0</v>
          </cell>
        </row>
        <row r="102">
          <cell r="B102" t="str">
            <v>2136</v>
          </cell>
          <cell r="C102" t="str">
            <v>Giấy phép và giấy phép nhượng quyền</v>
          </cell>
          <cell r="F102">
            <v>0</v>
          </cell>
          <cell r="G102">
            <v>0</v>
          </cell>
          <cell r="H102">
            <v>0</v>
          </cell>
          <cell r="I102">
            <v>0</v>
          </cell>
        </row>
        <row r="103">
          <cell r="B103" t="str">
            <v>2138</v>
          </cell>
          <cell r="C103" t="str">
            <v>TSCĐ vô hình khác</v>
          </cell>
          <cell r="F103">
            <v>0</v>
          </cell>
          <cell r="G103">
            <v>0</v>
          </cell>
          <cell r="H103">
            <v>0</v>
          </cell>
          <cell r="I103">
            <v>0</v>
          </cell>
        </row>
        <row r="104">
          <cell r="B104" t="str">
            <v>214</v>
          </cell>
          <cell r="C104" t="str">
            <v>Hao mòn TSCĐ</v>
          </cell>
          <cell r="D104">
            <v>0</v>
          </cell>
          <cell r="E104">
            <v>500000000</v>
          </cell>
          <cell r="F104">
            <v>0</v>
          </cell>
          <cell r="G104">
            <v>1500000000</v>
          </cell>
          <cell r="H104">
            <v>0</v>
          </cell>
          <cell r="I104">
            <v>2000000000</v>
          </cell>
        </row>
        <row r="105">
          <cell r="B105" t="str">
            <v>2141</v>
          </cell>
          <cell r="C105" t="str">
            <v>Hao mòn TSCĐ hữu hình</v>
          </cell>
          <cell r="D105">
            <v>0</v>
          </cell>
          <cell r="E105">
            <v>500000000</v>
          </cell>
          <cell r="F105">
            <v>0</v>
          </cell>
          <cell r="G105">
            <v>1500000000</v>
          </cell>
          <cell r="H105">
            <v>0</v>
          </cell>
          <cell r="I105">
            <v>2000000000</v>
          </cell>
        </row>
        <row r="106">
          <cell r="B106" t="str">
            <v>21411</v>
          </cell>
          <cell r="C106" t="str">
            <v>Nhà cửa, vật kiến trúc</v>
          </cell>
          <cell r="E106">
            <v>500000000</v>
          </cell>
          <cell r="F106">
            <v>0</v>
          </cell>
          <cell r="G106">
            <v>1500000000</v>
          </cell>
          <cell r="H106">
            <v>0</v>
          </cell>
          <cell r="I106">
            <v>2000000000</v>
          </cell>
        </row>
        <row r="107">
          <cell r="B107" t="str">
            <v>21412</v>
          </cell>
          <cell r="C107" t="str">
            <v>Máy móc, thiết bị</v>
          </cell>
          <cell r="F107">
            <v>0</v>
          </cell>
          <cell r="G107">
            <v>0</v>
          </cell>
          <cell r="H107">
            <v>0</v>
          </cell>
          <cell r="I107">
            <v>0</v>
          </cell>
        </row>
        <row r="108">
          <cell r="B108" t="str">
            <v>21413</v>
          </cell>
          <cell r="C108" t="str">
            <v>Phương tiện vận tải, truyền dẫn</v>
          </cell>
          <cell r="F108">
            <v>0</v>
          </cell>
          <cell r="G108">
            <v>0</v>
          </cell>
          <cell r="H108">
            <v>0</v>
          </cell>
          <cell r="I108">
            <v>0</v>
          </cell>
        </row>
        <row r="109">
          <cell r="B109" t="str">
            <v>21414</v>
          </cell>
          <cell r="C109" t="str">
            <v>Thiết bị, dụng cụ quản lý</v>
          </cell>
          <cell r="F109">
            <v>0</v>
          </cell>
          <cell r="G109">
            <v>0</v>
          </cell>
          <cell r="H109">
            <v>0</v>
          </cell>
          <cell r="I109">
            <v>0</v>
          </cell>
        </row>
        <row r="110">
          <cell r="B110" t="str">
            <v>21415</v>
          </cell>
          <cell r="C110" t="str">
            <v>Cây lâu năm, súc vật làm việc</v>
          </cell>
          <cell r="F110">
            <v>0</v>
          </cell>
          <cell r="G110">
            <v>0</v>
          </cell>
          <cell r="H110">
            <v>0</v>
          </cell>
          <cell r="I110">
            <v>0</v>
          </cell>
        </row>
        <row r="111">
          <cell r="B111" t="str">
            <v>21418</v>
          </cell>
          <cell r="C111" t="str">
            <v>TSCĐ khác</v>
          </cell>
          <cell r="F111">
            <v>0</v>
          </cell>
          <cell r="G111">
            <v>0</v>
          </cell>
          <cell r="H111">
            <v>0</v>
          </cell>
          <cell r="I111">
            <v>0</v>
          </cell>
        </row>
        <row r="112">
          <cell r="B112" t="str">
            <v>2142</v>
          </cell>
          <cell r="C112" t="str">
            <v>Hao mòn TSCĐ thuê tài chính</v>
          </cell>
          <cell r="D112">
            <v>0</v>
          </cell>
          <cell r="E112">
            <v>0</v>
          </cell>
          <cell r="F112">
            <v>0</v>
          </cell>
          <cell r="G112">
            <v>0</v>
          </cell>
          <cell r="H112">
            <v>0</v>
          </cell>
          <cell r="I112">
            <v>0</v>
          </cell>
        </row>
        <row r="113">
          <cell r="B113" t="str">
            <v>21422</v>
          </cell>
          <cell r="C113" t="str">
            <v>Máy móc, thiết bị</v>
          </cell>
          <cell r="F113">
            <v>0</v>
          </cell>
          <cell r="G113">
            <v>0</v>
          </cell>
          <cell r="H113">
            <v>0</v>
          </cell>
          <cell r="I113">
            <v>0</v>
          </cell>
        </row>
        <row r="114">
          <cell r="B114" t="str">
            <v>21423</v>
          </cell>
          <cell r="C114" t="str">
            <v>Phương tiện vận tải, truyền dẫn</v>
          </cell>
          <cell r="F114">
            <v>0</v>
          </cell>
          <cell r="G114">
            <v>0</v>
          </cell>
          <cell r="H114">
            <v>0</v>
          </cell>
          <cell r="I114">
            <v>0</v>
          </cell>
        </row>
        <row r="115">
          <cell r="B115" t="str">
            <v>2143</v>
          </cell>
          <cell r="C115" t="str">
            <v>Hao mòn TSCĐ vô hình</v>
          </cell>
          <cell r="F115">
            <v>0</v>
          </cell>
          <cell r="G115">
            <v>0</v>
          </cell>
          <cell r="H115">
            <v>0</v>
          </cell>
          <cell r="I115">
            <v>0</v>
          </cell>
        </row>
        <row r="116">
          <cell r="B116" t="str">
            <v>2147</v>
          </cell>
          <cell r="C116" t="str">
            <v>Hao mòn BĐS đầu tư</v>
          </cell>
          <cell r="F116">
            <v>0</v>
          </cell>
          <cell r="G116">
            <v>0</v>
          </cell>
          <cell r="H116">
            <v>0</v>
          </cell>
          <cell r="I116">
            <v>0</v>
          </cell>
        </row>
        <row r="117">
          <cell r="B117" t="str">
            <v>217</v>
          </cell>
          <cell r="C117" t="str">
            <v>Bất động sản đầu tư</v>
          </cell>
          <cell r="F117">
            <v>0</v>
          </cell>
          <cell r="G117">
            <v>0</v>
          </cell>
          <cell r="H117">
            <v>0</v>
          </cell>
          <cell r="I117">
            <v>0</v>
          </cell>
        </row>
        <row r="118">
          <cell r="B118" t="str">
            <v>221</v>
          </cell>
          <cell r="C118" t="str">
            <v>Đầu tư vào công ty con</v>
          </cell>
          <cell r="F118">
            <v>0</v>
          </cell>
          <cell r="G118">
            <v>0</v>
          </cell>
          <cell r="H118">
            <v>0</v>
          </cell>
          <cell r="I118">
            <v>0</v>
          </cell>
        </row>
        <row r="119">
          <cell r="B119" t="str">
            <v>222</v>
          </cell>
          <cell r="C119" t="str">
            <v>Vốn góp liên doanh</v>
          </cell>
          <cell r="F119">
            <v>0</v>
          </cell>
          <cell r="G119">
            <v>0</v>
          </cell>
          <cell r="H119">
            <v>0</v>
          </cell>
          <cell r="I119">
            <v>0</v>
          </cell>
        </row>
        <row r="120">
          <cell r="B120" t="str">
            <v>223</v>
          </cell>
          <cell r="C120" t="str">
            <v>Đầu tư vào công ty liên kết</v>
          </cell>
          <cell r="F120">
            <v>0</v>
          </cell>
          <cell r="G120">
            <v>0</v>
          </cell>
          <cell r="H120">
            <v>0</v>
          </cell>
          <cell r="I120">
            <v>0</v>
          </cell>
        </row>
        <row r="121">
          <cell r="B121" t="str">
            <v>228</v>
          </cell>
          <cell r="C121" t="str">
            <v>Đầu tư tài chính dài hạn khác</v>
          </cell>
          <cell r="D121">
            <v>0</v>
          </cell>
          <cell r="E121">
            <v>0</v>
          </cell>
          <cell r="F121">
            <v>0</v>
          </cell>
          <cell r="G121">
            <v>0</v>
          </cell>
          <cell r="H121">
            <v>0</v>
          </cell>
          <cell r="I121">
            <v>0</v>
          </cell>
        </row>
        <row r="122">
          <cell r="B122" t="str">
            <v>2281</v>
          </cell>
          <cell r="C122" t="str">
            <v>Cổ phiếu</v>
          </cell>
          <cell r="F122">
            <v>0</v>
          </cell>
          <cell r="G122">
            <v>0</v>
          </cell>
          <cell r="H122">
            <v>0</v>
          </cell>
          <cell r="I122">
            <v>0</v>
          </cell>
        </row>
        <row r="123">
          <cell r="B123" t="str">
            <v>2282</v>
          </cell>
          <cell r="C123" t="str">
            <v>Trái phiếu</v>
          </cell>
          <cell r="F123">
            <v>0</v>
          </cell>
          <cell r="G123">
            <v>0</v>
          </cell>
          <cell r="H123">
            <v>0</v>
          </cell>
          <cell r="I123">
            <v>0</v>
          </cell>
        </row>
        <row r="124">
          <cell r="B124" t="str">
            <v>2288</v>
          </cell>
          <cell r="C124" t="str">
            <v>Đầu tư dài hạn khác</v>
          </cell>
          <cell r="F124">
            <v>0</v>
          </cell>
          <cell r="G124">
            <v>0</v>
          </cell>
          <cell r="H124">
            <v>0</v>
          </cell>
          <cell r="I124">
            <v>0</v>
          </cell>
        </row>
        <row r="125">
          <cell r="B125" t="str">
            <v>229</v>
          </cell>
          <cell r="C125" t="str">
            <v>Dự phòng giảm giá đầu tư T/chính DH</v>
          </cell>
          <cell r="F125">
            <v>0</v>
          </cell>
          <cell r="G125">
            <v>0</v>
          </cell>
          <cell r="H125">
            <v>0</v>
          </cell>
          <cell r="I125">
            <v>0</v>
          </cell>
        </row>
        <row r="126">
          <cell r="B126" t="str">
            <v>241</v>
          </cell>
          <cell r="C126" t="str">
            <v>Xây dựng cơ bản dở dang</v>
          </cell>
          <cell r="D126">
            <v>0</v>
          </cell>
          <cell r="E126">
            <v>0</v>
          </cell>
          <cell r="F126">
            <v>0</v>
          </cell>
          <cell r="G126">
            <v>0</v>
          </cell>
          <cell r="H126">
            <v>0</v>
          </cell>
          <cell r="I126">
            <v>0</v>
          </cell>
        </row>
        <row r="127">
          <cell r="B127" t="str">
            <v>2411</v>
          </cell>
          <cell r="C127" t="str">
            <v>Mua sắm TSCĐ</v>
          </cell>
          <cell r="F127">
            <v>0</v>
          </cell>
          <cell r="G127">
            <v>0</v>
          </cell>
          <cell r="H127">
            <v>0</v>
          </cell>
          <cell r="I127">
            <v>0</v>
          </cell>
        </row>
        <row r="128">
          <cell r="B128" t="str">
            <v>2412</v>
          </cell>
          <cell r="C128" t="str">
            <v>Xây dựng cơ bản dở dang</v>
          </cell>
          <cell r="F128">
            <v>0</v>
          </cell>
          <cell r="G128">
            <v>0</v>
          </cell>
          <cell r="H128">
            <v>0</v>
          </cell>
          <cell r="I128">
            <v>0</v>
          </cell>
        </row>
        <row r="129">
          <cell r="B129" t="str">
            <v>2413</v>
          </cell>
          <cell r="C129" t="str">
            <v>Sửa chữa lớn TSCĐ</v>
          </cell>
          <cell r="F129">
            <v>0</v>
          </cell>
          <cell r="G129">
            <v>0</v>
          </cell>
          <cell r="H129">
            <v>0</v>
          </cell>
          <cell r="I129">
            <v>0</v>
          </cell>
        </row>
        <row r="130">
          <cell r="B130" t="str">
            <v>242</v>
          </cell>
          <cell r="C130" t="str">
            <v>Chi phí trả trước dài hạn</v>
          </cell>
          <cell r="F130">
            <v>0</v>
          </cell>
          <cell r="G130">
            <v>0</v>
          </cell>
          <cell r="H130">
            <v>0</v>
          </cell>
          <cell r="I130">
            <v>0</v>
          </cell>
        </row>
        <row r="131">
          <cell r="B131" t="str">
            <v>243</v>
          </cell>
          <cell r="C131" t="str">
            <v>Tài sản thuế thu nhập hoãn lại</v>
          </cell>
          <cell r="F131">
            <v>0</v>
          </cell>
          <cell r="G131">
            <v>0</v>
          </cell>
          <cell r="H131">
            <v>0</v>
          </cell>
          <cell r="I131">
            <v>0</v>
          </cell>
        </row>
        <row r="132">
          <cell r="B132" t="str">
            <v>244</v>
          </cell>
          <cell r="C132" t="str">
            <v>Ký quỹ, ký cược dài hạn</v>
          </cell>
          <cell r="F132">
            <v>0</v>
          </cell>
          <cell r="G132">
            <v>0</v>
          </cell>
          <cell r="H132">
            <v>0</v>
          </cell>
          <cell r="I132">
            <v>0</v>
          </cell>
        </row>
        <row r="133">
          <cell r="B133" t="str">
            <v>311</v>
          </cell>
          <cell r="C133" t="str">
            <v>Vay ngắn hạn</v>
          </cell>
          <cell r="D133">
            <v>0</v>
          </cell>
          <cell r="E133">
            <v>1000000000</v>
          </cell>
          <cell r="F133">
            <v>0</v>
          </cell>
          <cell r="G133">
            <v>2920000000</v>
          </cell>
          <cell r="H133">
            <v>0</v>
          </cell>
          <cell r="I133">
            <v>3920000000</v>
          </cell>
        </row>
        <row r="134">
          <cell r="B134" t="str">
            <v>311-DA</v>
          </cell>
          <cell r="C134" t="str">
            <v>Ngân hàng Đại Á</v>
          </cell>
          <cell r="E134">
            <v>1000000000</v>
          </cell>
          <cell r="F134">
            <v>0</v>
          </cell>
          <cell r="G134">
            <v>0</v>
          </cell>
          <cell r="H134">
            <v>0</v>
          </cell>
          <cell r="I134">
            <v>1000000000</v>
          </cell>
        </row>
        <row r="135">
          <cell r="B135" t="str">
            <v>311-ARI</v>
          </cell>
          <cell r="C135" t="str">
            <v>Ngân hàng Aribank</v>
          </cell>
          <cell r="F135">
            <v>0</v>
          </cell>
          <cell r="G135">
            <v>2920000000</v>
          </cell>
          <cell r="H135">
            <v>0</v>
          </cell>
          <cell r="I135">
            <v>2920000000</v>
          </cell>
        </row>
        <row r="136">
          <cell r="B136" t="str">
            <v>3112</v>
          </cell>
          <cell r="C136" t="str">
            <v>Vay giám đốc-Lê Văn Tuấn</v>
          </cell>
          <cell r="F136">
            <v>0</v>
          </cell>
          <cell r="G136">
            <v>0</v>
          </cell>
          <cell r="H136">
            <v>0</v>
          </cell>
          <cell r="I136">
            <v>0</v>
          </cell>
        </row>
        <row r="137">
          <cell r="B137" t="str">
            <v>315</v>
          </cell>
          <cell r="C137" t="str">
            <v>Nợ dài hạn đến hạn trả</v>
          </cell>
          <cell r="F137">
            <v>0</v>
          </cell>
          <cell r="G137">
            <v>0</v>
          </cell>
          <cell r="H137">
            <v>0</v>
          </cell>
          <cell r="I137">
            <v>0</v>
          </cell>
        </row>
        <row r="138">
          <cell r="B138" t="str">
            <v>331</v>
          </cell>
          <cell r="C138" t="str">
            <v>Phải trả cho người bán</v>
          </cell>
          <cell r="D138">
            <v>0</v>
          </cell>
          <cell r="E138">
            <v>1248145840</v>
          </cell>
          <cell r="F138">
            <v>4000000000</v>
          </cell>
          <cell r="G138">
            <v>5744437520</v>
          </cell>
          <cell r="H138">
            <v>0</v>
          </cell>
          <cell r="I138">
            <v>2992583360</v>
          </cell>
        </row>
        <row r="139">
          <cell r="B139" t="str">
            <v>3311</v>
          </cell>
          <cell r="C139" t="str">
            <v>Phải trả khách hàng ngắn hạn</v>
          </cell>
          <cell r="D139">
            <v>0</v>
          </cell>
          <cell r="E139">
            <v>1248145840</v>
          </cell>
          <cell r="F139">
            <v>4000000000</v>
          </cell>
          <cell r="G139">
            <v>5744437520</v>
          </cell>
          <cell r="H139">
            <v>0</v>
          </cell>
          <cell r="I139">
            <v>2992583360</v>
          </cell>
        </row>
        <row r="140">
          <cell r="B140" t="str">
            <v>3311-TN</v>
          </cell>
          <cell r="C140" t="str">
            <v>Phải trả khách hàng trong nước</v>
          </cell>
          <cell r="D140">
            <v>0</v>
          </cell>
          <cell r="E140">
            <v>1248145840</v>
          </cell>
          <cell r="F140">
            <v>4000000000</v>
          </cell>
          <cell r="G140">
            <v>5744437520</v>
          </cell>
          <cell r="H140">
            <v>0</v>
          </cell>
          <cell r="I140">
            <v>2992583360</v>
          </cell>
        </row>
        <row r="141">
          <cell r="B141" t="str">
            <v>3311-A</v>
          </cell>
          <cell r="E141">
            <v>1248145840</v>
          </cell>
          <cell r="F141">
            <v>4000000000</v>
          </cell>
          <cell r="G141">
            <v>5744437520</v>
          </cell>
          <cell r="H141">
            <v>0</v>
          </cell>
          <cell r="I141">
            <v>2992583360</v>
          </cell>
        </row>
        <row r="142">
          <cell r="F142">
            <v>0</v>
          </cell>
          <cell r="G142">
            <v>0</v>
          </cell>
          <cell r="H142">
            <v>0</v>
          </cell>
          <cell r="I142">
            <v>0</v>
          </cell>
        </row>
        <row r="143">
          <cell r="F143">
            <v>0</v>
          </cell>
          <cell r="G143">
            <v>0</v>
          </cell>
          <cell r="H143">
            <v>0</v>
          </cell>
          <cell r="I143">
            <v>0</v>
          </cell>
        </row>
        <row r="144">
          <cell r="B144" t="str">
            <v>3311-NN</v>
          </cell>
          <cell r="C144" t="str">
            <v>Phải trả khách hàng nước ngoài</v>
          </cell>
          <cell r="F144">
            <v>0</v>
          </cell>
          <cell r="G144">
            <v>0</v>
          </cell>
          <cell r="H144">
            <v>0</v>
          </cell>
          <cell r="I144">
            <v>0</v>
          </cell>
        </row>
        <row r="145">
          <cell r="F145">
            <v>0</v>
          </cell>
          <cell r="G145">
            <v>0</v>
          </cell>
          <cell r="H145">
            <v>0</v>
          </cell>
          <cell r="I145">
            <v>0</v>
          </cell>
        </row>
        <row r="146">
          <cell r="F146">
            <v>0</v>
          </cell>
          <cell r="G146">
            <v>0</v>
          </cell>
          <cell r="H146">
            <v>0</v>
          </cell>
          <cell r="I146">
            <v>0</v>
          </cell>
        </row>
        <row r="147">
          <cell r="B147" t="str">
            <v>333</v>
          </cell>
          <cell r="C147" t="str">
            <v>Thuế và các khoản phải nộp Nhà nước</v>
          </cell>
          <cell r="F147">
            <v>196544881</v>
          </cell>
          <cell r="G147">
            <v>196544881</v>
          </cell>
          <cell r="H147">
            <v>0</v>
          </cell>
          <cell r="I147">
            <v>0</v>
          </cell>
        </row>
        <row r="148">
          <cell r="B148" t="str">
            <v>3331</v>
          </cell>
          <cell r="C148" t="str">
            <v>Thuế giá trị gia tăng phải nộp</v>
          </cell>
          <cell r="F148">
            <v>0</v>
          </cell>
          <cell r="G148">
            <v>0</v>
          </cell>
          <cell r="H148">
            <v>0</v>
          </cell>
          <cell r="I148">
            <v>0</v>
          </cell>
        </row>
        <row r="149">
          <cell r="B149" t="str">
            <v>33311</v>
          </cell>
          <cell r="C149" t="str">
            <v>Thuế GTGT đầu ra</v>
          </cell>
          <cell r="F149">
            <v>0</v>
          </cell>
          <cell r="G149">
            <v>0</v>
          </cell>
          <cell r="H149">
            <v>0</v>
          </cell>
          <cell r="I149">
            <v>0</v>
          </cell>
        </row>
        <row r="150">
          <cell r="B150" t="str">
            <v>33312</v>
          </cell>
          <cell r="C150" t="str">
            <v>Thuế GTGT hàng nhập khẩu</v>
          </cell>
          <cell r="F150">
            <v>0</v>
          </cell>
          <cell r="G150">
            <v>0</v>
          </cell>
          <cell r="H150">
            <v>0</v>
          </cell>
          <cell r="I150">
            <v>0</v>
          </cell>
        </row>
        <row r="151">
          <cell r="B151" t="str">
            <v>3332</v>
          </cell>
          <cell r="C151" t="str">
            <v>Thuế tiêu thụ đặc biệt</v>
          </cell>
          <cell r="F151">
            <v>0</v>
          </cell>
          <cell r="G151">
            <v>0</v>
          </cell>
          <cell r="H151">
            <v>0</v>
          </cell>
          <cell r="I151">
            <v>0</v>
          </cell>
        </row>
        <row r="152">
          <cell r="B152" t="str">
            <v>3333</v>
          </cell>
          <cell r="C152" t="str">
            <v>Thuế xuất nhập khẩu</v>
          </cell>
          <cell r="F152">
            <v>0</v>
          </cell>
          <cell r="G152">
            <v>0</v>
          </cell>
          <cell r="H152">
            <v>0</v>
          </cell>
          <cell r="I152">
            <v>0</v>
          </cell>
        </row>
        <row r="153">
          <cell r="B153" t="str">
            <v>33331</v>
          </cell>
          <cell r="C153" t="str">
            <v>Thuế xuất khẩu</v>
          </cell>
          <cell r="F153">
            <v>0</v>
          </cell>
          <cell r="G153">
            <v>0</v>
          </cell>
          <cell r="H153">
            <v>0</v>
          </cell>
          <cell r="I153">
            <v>0</v>
          </cell>
        </row>
        <row r="154">
          <cell r="B154" t="str">
            <v>33332</v>
          </cell>
          <cell r="C154" t="str">
            <v>Thuế nhập khẩu</v>
          </cell>
          <cell r="F154">
            <v>0</v>
          </cell>
          <cell r="G154">
            <v>0</v>
          </cell>
          <cell r="H154">
            <v>0</v>
          </cell>
          <cell r="I154">
            <v>0</v>
          </cell>
        </row>
        <row r="155">
          <cell r="B155" t="str">
            <v>3334</v>
          </cell>
          <cell r="C155" t="str">
            <v>Thuế thu nhập doanh nghiệp</v>
          </cell>
          <cell r="F155">
            <v>196544881</v>
          </cell>
          <cell r="G155">
            <v>196544881</v>
          </cell>
          <cell r="H155">
            <v>0</v>
          </cell>
          <cell r="I155">
            <v>0</v>
          </cell>
        </row>
        <row r="156">
          <cell r="B156" t="str">
            <v>3335</v>
          </cell>
          <cell r="C156" t="str">
            <v>Thuế thu nhập cá nhân</v>
          </cell>
          <cell r="F156">
            <v>0</v>
          </cell>
          <cell r="G156">
            <v>0</v>
          </cell>
          <cell r="H156">
            <v>0</v>
          </cell>
          <cell r="I156">
            <v>0</v>
          </cell>
        </row>
        <row r="157">
          <cell r="B157" t="str">
            <v>3336</v>
          </cell>
          <cell r="C157" t="str">
            <v>Thuế tài nguyên</v>
          </cell>
          <cell r="F157">
            <v>0</v>
          </cell>
          <cell r="G157">
            <v>0</v>
          </cell>
          <cell r="H157">
            <v>0</v>
          </cell>
          <cell r="I157">
            <v>0</v>
          </cell>
        </row>
        <row r="158">
          <cell r="B158" t="str">
            <v>3337</v>
          </cell>
          <cell r="C158" t="str">
            <v>Thuế nhà đất, tiền thuê đất</v>
          </cell>
          <cell r="F158">
            <v>0</v>
          </cell>
          <cell r="G158">
            <v>0</v>
          </cell>
          <cell r="H158">
            <v>0</v>
          </cell>
          <cell r="I158">
            <v>0</v>
          </cell>
        </row>
        <row r="159">
          <cell r="B159" t="str">
            <v>3338</v>
          </cell>
          <cell r="C159" t="str">
            <v>Các loại thuế khác</v>
          </cell>
          <cell r="F159">
            <v>0</v>
          </cell>
          <cell r="G159">
            <v>0</v>
          </cell>
          <cell r="H159">
            <v>0</v>
          </cell>
          <cell r="I159">
            <v>0</v>
          </cell>
        </row>
        <row r="160">
          <cell r="B160" t="str">
            <v>3339</v>
          </cell>
          <cell r="C160" t="str">
            <v>Phí, lệ phí và các khoản phải nộp khác</v>
          </cell>
          <cell r="F160">
            <v>0</v>
          </cell>
          <cell r="G160">
            <v>0</v>
          </cell>
          <cell r="H160">
            <v>0</v>
          </cell>
          <cell r="I160">
            <v>0</v>
          </cell>
        </row>
        <row r="161">
          <cell r="B161" t="str">
            <v>334</v>
          </cell>
          <cell r="C161" t="str">
            <v>Phải trả người lao động</v>
          </cell>
          <cell r="D161">
            <v>0</v>
          </cell>
          <cell r="E161">
            <v>0</v>
          </cell>
          <cell r="F161">
            <v>1850000000</v>
          </cell>
          <cell r="G161">
            <v>1850000000</v>
          </cell>
          <cell r="H161">
            <v>0</v>
          </cell>
          <cell r="I161">
            <v>0</v>
          </cell>
        </row>
        <row r="162">
          <cell r="B162" t="str">
            <v>3341</v>
          </cell>
          <cell r="C162" t="str">
            <v>Phải trả công nhân viên trong nước</v>
          </cell>
          <cell r="F162">
            <v>1850000000</v>
          </cell>
          <cell r="G162">
            <v>1850000000</v>
          </cell>
          <cell r="H162">
            <v>0</v>
          </cell>
          <cell r="I162">
            <v>0</v>
          </cell>
        </row>
        <row r="163">
          <cell r="B163" t="str">
            <v>3342</v>
          </cell>
          <cell r="C163" t="str">
            <v>Phải trả công nhân viên nước ngoài</v>
          </cell>
          <cell r="F163">
            <v>0</v>
          </cell>
          <cell r="G163">
            <v>0</v>
          </cell>
          <cell r="H163">
            <v>0</v>
          </cell>
          <cell r="I163">
            <v>0</v>
          </cell>
        </row>
        <row r="164">
          <cell r="B164" t="str">
            <v>335</v>
          </cell>
          <cell r="C164" t="str">
            <v>Chi phí phải trả</v>
          </cell>
          <cell r="E164">
            <v>0</v>
          </cell>
          <cell r="F164">
            <v>0</v>
          </cell>
          <cell r="G164">
            <v>0</v>
          </cell>
          <cell r="H164">
            <v>0</v>
          </cell>
          <cell r="I164">
            <v>0</v>
          </cell>
        </row>
        <row r="165">
          <cell r="B165" t="str">
            <v>336</v>
          </cell>
          <cell r="C165" t="str">
            <v>Phải trả nội bộ</v>
          </cell>
          <cell r="D165">
            <v>0</v>
          </cell>
          <cell r="E165">
            <v>0</v>
          </cell>
          <cell r="F165">
            <v>0</v>
          </cell>
          <cell r="G165">
            <v>0</v>
          </cell>
          <cell r="H165">
            <v>0</v>
          </cell>
          <cell r="I165">
            <v>0</v>
          </cell>
        </row>
        <row r="166">
          <cell r="B166" t="str">
            <v>3361</v>
          </cell>
          <cell r="C166" t="str">
            <v>Phải trả nội bộ ngắn hạn</v>
          </cell>
          <cell r="F166">
            <v>0</v>
          </cell>
          <cell r="G166">
            <v>0</v>
          </cell>
          <cell r="H166">
            <v>0</v>
          </cell>
          <cell r="I166">
            <v>0</v>
          </cell>
        </row>
        <row r="167">
          <cell r="B167" t="str">
            <v>3362</v>
          </cell>
          <cell r="C167" t="str">
            <v>Phải trả nội bộ dài hạn</v>
          </cell>
          <cell r="F167">
            <v>0</v>
          </cell>
          <cell r="G167">
            <v>0</v>
          </cell>
          <cell r="H167">
            <v>0</v>
          </cell>
          <cell r="I167">
            <v>0</v>
          </cell>
        </row>
        <row r="168">
          <cell r="B168" t="str">
            <v>337</v>
          </cell>
          <cell r="C168" t="str">
            <v>T/t theo tiến độ HĐ xây dựng</v>
          </cell>
          <cell r="F168">
            <v>0</v>
          </cell>
          <cell r="G168">
            <v>0</v>
          </cell>
          <cell r="H168">
            <v>0</v>
          </cell>
          <cell r="I168">
            <v>0</v>
          </cell>
        </row>
        <row r="169">
          <cell r="B169" t="str">
            <v>338</v>
          </cell>
          <cell r="C169" t="str">
            <v>Phải trả, phải nộp khác</v>
          </cell>
          <cell r="D169">
            <v>0</v>
          </cell>
          <cell r="E169">
            <v>0</v>
          </cell>
          <cell r="F169">
            <v>0</v>
          </cell>
          <cell r="G169">
            <v>0</v>
          </cell>
          <cell r="H169">
            <v>0</v>
          </cell>
          <cell r="I169">
            <v>0</v>
          </cell>
        </row>
        <row r="170">
          <cell r="B170" t="str">
            <v>3381</v>
          </cell>
          <cell r="C170" t="str">
            <v>Tài sản thừa chờ giải quyết</v>
          </cell>
          <cell r="F170">
            <v>0</v>
          </cell>
          <cell r="G170">
            <v>0</v>
          </cell>
          <cell r="H170">
            <v>0</v>
          </cell>
          <cell r="I170">
            <v>0</v>
          </cell>
        </row>
        <row r="171">
          <cell r="B171" t="str">
            <v>3382</v>
          </cell>
          <cell r="C171" t="str">
            <v>Kinh phí công đoàn</v>
          </cell>
          <cell r="F171">
            <v>0</v>
          </cell>
          <cell r="G171">
            <v>0</v>
          </cell>
          <cell r="H171">
            <v>0</v>
          </cell>
          <cell r="I171">
            <v>0</v>
          </cell>
        </row>
        <row r="172">
          <cell r="B172" t="str">
            <v>3383</v>
          </cell>
          <cell r="C172" t="str">
            <v>Bảo hiểm xã hội</v>
          </cell>
          <cell r="F172">
            <v>0</v>
          </cell>
          <cell r="G172">
            <v>0</v>
          </cell>
          <cell r="H172">
            <v>0</v>
          </cell>
          <cell r="I172">
            <v>0</v>
          </cell>
        </row>
        <row r="173">
          <cell r="B173" t="str">
            <v>3384</v>
          </cell>
          <cell r="C173" t="str">
            <v>Bảo hiểm y tế</v>
          </cell>
          <cell r="F173">
            <v>0</v>
          </cell>
          <cell r="G173">
            <v>0</v>
          </cell>
          <cell r="H173">
            <v>0</v>
          </cell>
          <cell r="I173">
            <v>0</v>
          </cell>
        </row>
        <row r="174">
          <cell r="B174" t="str">
            <v>3385</v>
          </cell>
          <cell r="C174" t="str">
            <v>Phải trả về cổ phần hóa</v>
          </cell>
          <cell r="F174">
            <v>0</v>
          </cell>
          <cell r="G174">
            <v>0</v>
          </cell>
          <cell r="H174">
            <v>0</v>
          </cell>
          <cell r="I174">
            <v>0</v>
          </cell>
        </row>
        <row r="175">
          <cell r="B175" t="str">
            <v>3386</v>
          </cell>
          <cell r="C175" t="str">
            <v>Nhận ký quỹ, ký cược ngắn hạn</v>
          </cell>
          <cell r="F175">
            <v>0</v>
          </cell>
          <cell r="G175">
            <v>0</v>
          </cell>
          <cell r="H175">
            <v>0</v>
          </cell>
          <cell r="I175">
            <v>0</v>
          </cell>
        </row>
        <row r="176">
          <cell r="B176" t="str">
            <v>3387</v>
          </cell>
          <cell r="C176" t="str">
            <v>Doanh thu chưa thực hiện</v>
          </cell>
          <cell r="F176">
            <v>0</v>
          </cell>
          <cell r="G176">
            <v>0</v>
          </cell>
          <cell r="H176">
            <v>0</v>
          </cell>
          <cell r="I176">
            <v>0</v>
          </cell>
        </row>
        <row r="177">
          <cell r="B177" t="str">
            <v>3388</v>
          </cell>
          <cell r="C177" t="str">
            <v>Phải trả, phải nộp khác</v>
          </cell>
          <cell r="F177">
            <v>0</v>
          </cell>
          <cell r="G177">
            <v>0</v>
          </cell>
          <cell r="H177">
            <v>0</v>
          </cell>
          <cell r="I177">
            <v>0</v>
          </cell>
        </row>
        <row r="178">
          <cell r="B178" t="str">
            <v>341</v>
          </cell>
          <cell r="C178" t="str">
            <v>Vay dài hạn</v>
          </cell>
          <cell r="F178">
            <v>0</v>
          </cell>
          <cell r="G178">
            <v>0</v>
          </cell>
          <cell r="H178">
            <v>0</v>
          </cell>
          <cell r="I178">
            <v>0</v>
          </cell>
        </row>
        <row r="179">
          <cell r="B179" t="str">
            <v>3411</v>
          </cell>
          <cell r="C179" t="str">
            <v>Vay - Công ty hóa chất DONG ZANG</v>
          </cell>
          <cell r="F179">
            <v>0</v>
          </cell>
          <cell r="G179">
            <v>0</v>
          </cell>
          <cell r="H179">
            <v>0</v>
          </cell>
          <cell r="I179">
            <v>0</v>
          </cell>
        </row>
        <row r="180">
          <cell r="B180" t="str">
            <v>342</v>
          </cell>
          <cell r="C180" t="str">
            <v>Nợ dài hạn - Công ty cho thuê TC KEMIM VN</v>
          </cell>
          <cell r="F180">
            <v>0</v>
          </cell>
          <cell r="G180">
            <v>0</v>
          </cell>
          <cell r="H180">
            <v>0</v>
          </cell>
          <cell r="I180">
            <v>0</v>
          </cell>
        </row>
        <row r="181">
          <cell r="B181" t="str">
            <v>343</v>
          </cell>
          <cell r="C181" t="str">
            <v>Trái phiếu phát hành</v>
          </cell>
          <cell r="D181">
            <v>0</v>
          </cell>
          <cell r="E181">
            <v>0</v>
          </cell>
          <cell r="F181">
            <v>0</v>
          </cell>
          <cell r="G181">
            <v>0</v>
          </cell>
          <cell r="H181">
            <v>0</v>
          </cell>
          <cell r="I181">
            <v>0</v>
          </cell>
        </row>
        <row r="182">
          <cell r="B182" t="str">
            <v>3431</v>
          </cell>
          <cell r="C182" t="str">
            <v>Mệnh giá trái phiếu</v>
          </cell>
          <cell r="F182">
            <v>0</v>
          </cell>
          <cell r="G182">
            <v>0</v>
          </cell>
          <cell r="H182">
            <v>0</v>
          </cell>
          <cell r="I182">
            <v>0</v>
          </cell>
        </row>
        <row r="183">
          <cell r="B183" t="str">
            <v>3432</v>
          </cell>
          <cell r="C183" t="str">
            <v>Chiết khấu trái phiếu</v>
          </cell>
          <cell r="F183">
            <v>0</v>
          </cell>
          <cell r="G183">
            <v>0</v>
          </cell>
          <cell r="H183">
            <v>0</v>
          </cell>
          <cell r="I183">
            <v>0</v>
          </cell>
        </row>
        <row r="184">
          <cell r="B184" t="str">
            <v>3433</v>
          </cell>
          <cell r="C184" t="str">
            <v>Phụ trội trái phiếu</v>
          </cell>
          <cell r="F184">
            <v>0</v>
          </cell>
          <cell r="G184">
            <v>0</v>
          </cell>
          <cell r="H184">
            <v>0</v>
          </cell>
          <cell r="I184">
            <v>0</v>
          </cell>
        </row>
        <row r="185">
          <cell r="B185" t="str">
            <v>344</v>
          </cell>
          <cell r="C185" t="str">
            <v>Nhận ký quỹ, ký cược dài hạn</v>
          </cell>
          <cell r="F185">
            <v>0</v>
          </cell>
          <cell r="G185">
            <v>0</v>
          </cell>
          <cell r="H185">
            <v>0</v>
          </cell>
          <cell r="I185">
            <v>0</v>
          </cell>
        </row>
        <row r="186">
          <cell r="B186" t="str">
            <v>347</v>
          </cell>
          <cell r="C186" t="str">
            <v>Thuế thu nhập hoãn lại phải trả</v>
          </cell>
          <cell r="F186">
            <v>0</v>
          </cell>
          <cell r="G186">
            <v>0</v>
          </cell>
          <cell r="H186">
            <v>0</v>
          </cell>
          <cell r="I186">
            <v>0</v>
          </cell>
        </row>
        <row r="187">
          <cell r="B187" t="str">
            <v>351</v>
          </cell>
          <cell r="C187" t="str">
            <v>Quỹ dự phòng trợ cấp mất việc làm</v>
          </cell>
          <cell r="F187">
            <v>0</v>
          </cell>
          <cell r="G187">
            <v>0</v>
          </cell>
          <cell r="H187">
            <v>0</v>
          </cell>
          <cell r="I187">
            <v>0</v>
          </cell>
        </row>
        <row r="188">
          <cell r="B188" t="str">
            <v>352</v>
          </cell>
          <cell r="C188" t="str">
            <v>Dự phòng phải trả</v>
          </cell>
          <cell r="D188">
            <v>0</v>
          </cell>
          <cell r="E188">
            <v>0</v>
          </cell>
          <cell r="F188">
            <v>0</v>
          </cell>
          <cell r="G188">
            <v>0</v>
          </cell>
          <cell r="H188">
            <v>0</v>
          </cell>
          <cell r="I188">
            <v>0</v>
          </cell>
        </row>
        <row r="189">
          <cell r="B189" t="str">
            <v>3521</v>
          </cell>
          <cell r="C189" t="str">
            <v>Dự phòng phải trả ngắn hạn</v>
          </cell>
          <cell r="F189">
            <v>0</v>
          </cell>
          <cell r="G189">
            <v>0</v>
          </cell>
          <cell r="H189">
            <v>0</v>
          </cell>
          <cell r="I189">
            <v>0</v>
          </cell>
        </row>
        <row r="190">
          <cell r="B190" t="str">
            <v>3522</v>
          </cell>
          <cell r="C190" t="str">
            <v>Dự phòng phải trả dài hạn</v>
          </cell>
          <cell r="F190">
            <v>0</v>
          </cell>
          <cell r="G190">
            <v>0</v>
          </cell>
          <cell r="H190">
            <v>0</v>
          </cell>
          <cell r="I190">
            <v>0</v>
          </cell>
        </row>
        <row r="191">
          <cell r="B191" t="str">
            <v>411</v>
          </cell>
          <cell r="C191" t="str">
            <v>Nguồn vốn  kinh doanh</v>
          </cell>
          <cell r="D191">
            <v>0</v>
          </cell>
          <cell r="E191">
            <v>6000000000</v>
          </cell>
          <cell r="F191">
            <v>0</v>
          </cell>
          <cell r="G191">
            <v>0</v>
          </cell>
          <cell r="H191">
            <v>0</v>
          </cell>
          <cell r="I191">
            <v>6000000000</v>
          </cell>
        </row>
        <row r="192">
          <cell r="B192" t="str">
            <v>4111</v>
          </cell>
          <cell r="C192" t="str">
            <v>Vốn đầu tư của chủ sở hữu</v>
          </cell>
          <cell r="E192">
            <v>6000000000</v>
          </cell>
          <cell r="F192">
            <v>0</v>
          </cell>
          <cell r="G192">
            <v>0</v>
          </cell>
          <cell r="H192">
            <v>0</v>
          </cell>
          <cell r="I192">
            <v>6000000000</v>
          </cell>
        </row>
        <row r="193">
          <cell r="B193" t="str">
            <v>4112</v>
          </cell>
          <cell r="C193" t="str">
            <v>Thặng dư vốn cổ phần</v>
          </cell>
          <cell r="F193">
            <v>0</v>
          </cell>
          <cell r="G193">
            <v>0</v>
          </cell>
          <cell r="H193">
            <v>0</v>
          </cell>
          <cell r="I193">
            <v>0</v>
          </cell>
        </row>
        <row r="194">
          <cell r="B194" t="str">
            <v>4118</v>
          </cell>
          <cell r="C194" t="str">
            <v>Vốn khác</v>
          </cell>
          <cell r="F194">
            <v>0</v>
          </cell>
          <cell r="G194">
            <v>0</v>
          </cell>
          <cell r="H194">
            <v>0</v>
          </cell>
          <cell r="I194">
            <v>0</v>
          </cell>
        </row>
        <row r="195">
          <cell r="B195" t="str">
            <v>412</v>
          </cell>
          <cell r="C195" t="str">
            <v>Chênh lệch đánh giá lại tài sản</v>
          </cell>
          <cell r="F195">
            <v>0</v>
          </cell>
          <cell r="G195">
            <v>0</v>
          </cell>
          <cell r="H195">
            <v>0</v>
          </cell>
          <cell r="I195">
            <v>0</v>
          </cell>
        </row>
        <row r="196">
          <cell r="B196" t="str">
            <v>413</v>
          </cell>
          <cell r="C196" t="str">
            <v>Chênh lệch tỷ giá hối đoái</v>
          </cell>
          <cell r="D196">
            <v>0</v>
          </cell>
          <cell r="E196">
            <v>0</v>
          </cell>
          <cell r="F196">
            <v>0</v>
          </cell>
          <cell r="G196">
            <v>0</v>
          </cell>
          <cell r="H196">
            <v>0</v>
          </cell>
          <cell r="I196">
            <v>0</v>
          </cell>
        </row>
        <row r="197">
          <cell r="B197" t="str">
            <v>4131</v>
          </cell>
          <cell r="C197" t="str">
            <v>CLTG đánh giá lại cuối năm tài chính</v>
          </cell>
          <cell r="F197">
            <v>0</v>
          </cell>
          <cell r="G197">
            <v>0</v>
          </cell>
          <cell r="H197">
            <v>0</v>
          </cell>
          <cell r="I197">
            <v>0</v>
          </cell>
        </row>
        <row r="198">
          <cell r="B198" t="str">
            <v>4132</v>
          </cell>
          <cell r="C198" t="str">
            <v>CLTG hối đoái trong gia đoạn XDCB</v>
          </cell>
          <cell r="F198">
            <v>0</v>
          </cell>
          <cell r="G198">
            <v>0</v>
          </cell>
          <cell r="H198">
            <v>0</v>
          </cell>
          <cell r="I198">
            <v>0</v>
          </cell>
        </row>
        <row r="199">
          <cell r="B199" t="str">
            <v>414</v>
          </cell>
          <cell r="C199" t="str">
            <v>Quỹ đầu tư phát triển</v>
          </cell>
          <cell r="F199">
            <v>0</v>
          </cell>
          <cell r="G199">
            <v>0</v>
          </cell>
          <cell r="H199">
            <v>0</v>
          </cell>
          <cell r="I199">
            <v>0</v>
          </cell>
        </row>
        <row r="200">
          <cell r="B200" t="str">
            <v>415</v>
          </cell>
          <cell r="C200" t="str">
            <v>Quỹ dự phòng tài chính</v>
          </cell>
          <cell r="F200">
            <v>0</v>
          </cell>
          <cell r="G200">
            <v>0</v>
          </cell>
          <cell r="H200">
            <v>0</v>
          </cell>
          <cell r="I200">
            <v>0</v>
          </cell>
        </row>
        <row r="201">
          <cell r="B201" t="str">
            <v>418</v>
          </cell>
          <cell r="C201" t="str">
            <v>Các quỹ khác thuộc vốn chủ sở hữu</v>
          </cell>
          <cell r="F201">
            <v>0</v>
          </cell>
          <cell r="G201">
            <v>0</v>
          </cell>
          <cell r="H201">
            <v>0</v>
          </cell>
          <cell r="I201">
            <v>0</v>
          </cell>
        </row>
        <row r="202">
          <cell r="B202" t="str">
            <v>419</v>
          </cell>
          <cell r="C202" t="str">
            <v>Cổ phiếu quỹ</v>
          </cell>
          <cell r="F202">
            <v>0</v>
          </cell>
          <cell r="G202">
            <v>0</v>
          </cell>
          <cell r="H202">
            <v>0</v>
          </cell>
          <cell r="I202">
            <v>0</v>
          </cell>
        </row>
        <row r="203">
          <cell r="B203" t="str">
            <v>421</v>
          </cell>
          <cell r="C203" t="str">
            <v>Lợi nhuận chưa phân phối</v>
          </cell>
          <cell r="D203">
            <v>0</v>
          </cell>
          <cell r="E203">
            <v>318154662.75</v>
          </cell>
          <cell r="F203">
            <v>0</v>
          </cell>
          <cell r="G203">
            <v>589634643</v>
          </cell>
          <cell r="H203">
            <v>0</v>
          </cell>
          <cell r="I203">
            <v>907789305.75</v>
          </cell>
        </row>
        <row r="204">
          <cell r="B204" t="str">
            <v>4211</v>
          </cell>
          <cell r="C204" t="str">
            <v>Lợi nhuận chưa phân phối năm trước</v>
          </cell>
          <cell r="F204">
            <v>0</v>
          </cell>
          <cell r="G204">
            <v>0</v>
          </cell>
          <cell r="H204">
            <v>0</v>
          </cell>
          <cell r="I204">
            <v>0</v>
          </cell>
        </row>
        <row r="205">
          <cell r="B205" t="str">
            <v>4212</v>
          </cell>
          <cell r="C205" t="str">
            <v>Lợi nhuận chưa phân phối năm nay</v>
          </cell>
          <cell r="E205">
            <v>318154662.75</v>
          </cell>
          <cell r="F205">
            <v>0</v>
          </cell>
          <cell r="G205">
            <v>589634643</v>
          </cell>
          <cell r="H205">
            <v>0</v>
          </cell>
          <cell r="I205">
            <v>907789305.75</v>
          </cell>
        </row>
        <row r="206">
          <cell r="B206" t="str">
            <v>431</v>
          </cell>
          <cell r="C206" t="str">
            <v>Quỹ khen thưởng, phúc lợi</v>
          </cell>
          <cell r="D206">
            <v>0</v>
          </cell>
          <cell r="E206">
            <v>0</v>
          </cell>
          <cell r="F206">
            <v>0</v>
          </cell>
          <cell r="G206">
            <v>0</v>
          </cell>
          <cell r="H206">
            <v>0</v>
          </cell>
          <cell r="I206">
            <v>0</v>
          </cell>
        </row>
        <row r="207">
          <cell r="B207" t="str">
            <v>4311</v>
          </cell>
          <cell r="C207" t="str">
            <v>Quỹ khen thưởng</v>
          </cell>
          <cell r="F207">
            <v>0</v>
          </cell>
          <cell r="G207">
            <v>0</v>
          </cell>
          <cell r="H207">
            <v>0</v>
          </cell>
          <cell r="I207">
            <v>0</v>
          </cell>
        </row>
        <row r="208">
          <cell r="B208" t="str">
            <v>4312</v>
          </cell>
          <cell r="C208" t="str">
            <v>Quỹ phúc lợi</v>
          </cell>
          <cell r="F208">
            <v>0</v>
          </cell>
          <cell r="G208">
            <v>0</v>
          </cell>
          <cell r="H208">
            <v>0</v>
          </cell>
          <cell r="I208">
            <v>0</v>
          </cell>
        </row>
        <row r="209">
          <cell r="B209" t="str">
            <v>4313</v>
          </cell>
          <cell r="C209" t="str">
            <v>Quỹ phúc lợi đã hình thành TSCĐ</v>
          </cell>
          <cell r="F209">
            <v>0</v>
          </cell>
          <cell r="G209">
            <v>0</v>
          </cell>
          <cell r="H209">
            <v>0</v>
          </cell>
          <cell r="I209">
            <v>0</v>
          </cell>
        </row>
        <row r="210">
          <cell r="B210" t="str">
            <v>441</v>
          </cell>
          <cell r="C210" t="str">
            <v>Nguồn vốn đầu tư xây dựng cơ bản</v>
          </cell>
          <cell r="F210">
            <v>0</v>
          </cell>
          <cell r="G210">
            <v>0</v>
          </cell>
          <cell r="H210">
            <v>0</v>
          </cell>
          <cell r="I210">
            <v>0</v>
          </cell>
        </row>
        <row r="211">
          <cell r="B211" t="str">
            <v>461</v>
          </cell>
          <cell r="C211" t="str">
            <v>Nguồn kinh phí sự nghiệp</v>
          </cell>
          <cell r="D211">
            <v>0</v>
          </cell>
          <cell r="E211">
            <v>0</v>
          </cell>
          <cell r="F211">
            <v>0</v>
          </cell>
          <cell r="G211">
            <v>0</v>
          </cell>
          <cell r="H211">
            <v>0</v>
          </cell>
          <cell r="I211">
            <v>0</v>
          </cell>
        </row>
        <row r="212">
          <cell r="B212" t="str">
            <v>4611</v>
          </cell>
          <cell r="C212" t="str">
            <v>Nguồn kinh phí sự nghiệp năm trước</v>
          </cell>
          <cell r="F212">
            <v>0</v>
          </cell>
          <cell r="G212">
            <v>0</v>
          </cell>
          <cell r="H212">
            <v>0</v>
          </cell>
          <cell r="I212">
            <v>0</v>
          </cell>
        </row>
        <row r="213">
          <cell r="B213" t="str">
            <v>4612</v>
          </cell>
          <cell r="C213" t="str">
            <v>Nguồn kinh sự nghiệp năm nay</v>
          </cell>
          <cell r="F213">
            <v>0</v>
          </cell>
          <cell r="G213">
            <v>0</v>
          </cell>
          <cell r="H213">
            <v>0</v>
          </cell>
          <cell r="I213">
            <v>0</v>
          </cell>
        </row>
        <row r="214">
          <cell r="B214" t="str">
            <v>466</v>
          </cell>
          <cell r="C214" t="str">
            <v>Nguồn kinh phí đã hình thành TSCĐ</v>
          </cell>
          <cell r="F214">
            <v>0</v>
          </cell>
          <cell r="G214">
            <v>0</v>
          </cell>
          <cell r="H214">
            <v>0</v>
          </cell>
          <cell r="I214">
            <v>0</v>
          </cell>
        </row>
        <row r="215">
          <cell r="B215" t="str">
            <v>511</v>
          </cell>
          <cell r="C215" t="str">
            <v>D/thu bán hàng và cung cấp dịch vụ</v>
          </cell>
          <cell r="D215">
            <v>0</v>
          </cell>
          <cell r="E215">
            <v>0</v>
          </cell>
          <cell r="F215">
            <v>30454695345</v>
          </cell>
          <cell r="G215">
            <v>30454695345</v>
          </cell>
          <cell r="H215">
            <v>0</v>
          </cell>
          <cell r="I215">
            <v>0</v>
          </cell>
        </row>
        <row r="216">
          <cell r="B216" t="str">
            <v>5111</v>
          </cell>
          <cell r="C216" t="str">
            <v>Doanh thu bán hàng hóa</v>
          </cell>
          <cell r="F216">
            <v>30454695345</v>
          </cell>
          <cell r="G216">
            <v>30454695345</v>
          </cell>
          <cell r="H216">
            <v>0</v>
          </cell>
          <cell r="I216">
            <v>0</v>
          </cell>
        </row>
        <row r="217">
          <cell r="B217" t="str">
            <v>5112</v>
          </cell>
          <cell r="C217" t="str">
            <v>Doanh thu bán các thành phẩm</v>
          </cell>
          <cell r="F217">
            <v>0</v>
          </cell>
          <cell r="G217">
            <v>0</v>
          </cell>
          <cell r="H217">
            <v>0</v>
          </cell>
          <cell r="I217">
            <v>0</v>
          </cell>
        </row>
        <row r="218">
          <cell r="B218" t="str">
            <v>5113</v>
          </cell>
          <cell r="C218" t="str">
            <v>Doanh thu cung cấp dịch vụ</v>
          </cell>
          <cell r="F218">
            <v>0</v>
          </cell>
          <cell r="G218">
            <v>0</v>
          </cell>
          <cell r="H218">
            <v>0</v>
          </cell>
          <cell r="I218">
            <v>0</v>
          </cell>
        </row>
        <row r="219">
          <cell r="B219" t="str">
            <v>5114</v>
          </cell>
          <cell r="C219" t="str">
            <v>Doanh thu trợ cấp, trợ giá</v>
          </cell>
          <cell r="F219">
            <v>0</v>
          </cell>
          <cell r="G219">
            <v>0</v>
          </cell>
          <cell r="H219">
            <v>0</v>
          </cell>
          <cell r="I219">
            <v>0</v>
          </cell>
        </row>
        <row r="220">
          <cell r="B220" t="str">
            <v>5117</v>
          </cell>
          <cell r="C220" t="str">
            <v>Doanh thu kinh doanh BĐS đầu tư</v>
          </cell>
          <cell r="F220">
            <v>0</v>
          </cell>
          <cell r="G220">
            <v>0</v>
          </cell>
          <cell r="H220">
            <v>0</v>
          </cell>
          <cell r="I220">
            <v>0</v>
          </cell>
        </row>
        <row r="221">
          <cell r="B221" t="str">
            <v>512</v>
          </cell>
          <cell r="C221" t="str">
            <v>Doanh thu bán hàng nội bộ</v>
          </cell>
          <cell r="D221">
            <v>0</v>
          </cell>
          <cell r="E221">
            <v>0</v>
          </cell>
          <cell r="F221">
            <v>0</v>
          </cell>
          <cell r="G221">
            <v>0</v>
          </cell>
          <cell r="H221">
            <v>0</v>
          </cell>
          <cell r="I221">
            <v>0</v>
          </cell>
        </row>
        <row r="222">
          <cell r="B222" t="str">
            <v>5121</v>
          </cell>
          <cell r="C222" t="str">
            <v>Doanh thu bán hàng hóa</v>
          </cell>
          <cell r="F222">
            <v>0</v>
          </cell>
          <cell r="G222">
            <v>0</v>
          </cell>
          <cell r="H222">
            <v>0</v>
          </cell>
          <cell r="I222">
            <v>0</v>
          </cell>
        </row>
        <row r="223">
          <cell r="B223" t="str">
            <v>5122</v>
          </cell>
          <cell r="C223" t="str">
            <v>Doanh thu bán các thành phẩm</v>
          </cell>
          <cell r="F223">
            <v>0</v>
          </cell>
          <cell r="G223">
            <v>0</v>
          </cell>
          <cell r="H223">
            <v>0</v>
          </cell>
          <cell r="I223">
            <v>0</v>
          </cell>
        </row>
        <row r="224">
          <cell r="B224" t="str">
            <v>5123</v>
          </cell>
          <cell r="C224" t="str">
            <v>Doanh thu cung cấp dịch vụ</v>
          </cell>
          <cell r="F224">
            <v>0</v>
          </cell>
          <cell r="G224">
            <v>0</v>
          </cell>
          <cell r="H224">
            <v>0</v>
          </cell>
          <cell r="I224">
            <v>0</v>
          </cell>
        </row>
        <row r="225">
          <cell r="B225" t="str">
            <v>515</v>
          </cell>
          <cell r="C225" t="str">
            <v>Doanh thu hoạt động tài chính</v>
          </cell>
          <cell r="D225">
            <v>0</v>
          </cell>
          <cell r="E225">
            <v>0</v>
          </cell>
          <cell r="F225">
            <v>49377942</v>
          </cell>
          <cell r="G225">
            <v>49377942</v>
          </cell>
          <cell r="H225">
            <v>0</v>
          </cell>
          <cell r="I225">
            <v>0</v>
          </cell>
        </row>
        <row r="226">
          <cell r="B226" t="str">
            <v>5151</v>
          </cell>
          <cell r="C226" t="str">
            <v>Dthu HĐ TC-Lãi tiền gửi NH</v>
          </cell>
          <cell r="F226">
            <v>49377942</v>
          </cell>
          <cell r="G226">
            <v>49377942</v>
          </cell>
          <cell r="H226">
            <v>0</v>
          </cell>
          <cell r="I226">
            <v>0</v>
          </cell>
        </row>
        <row r="227">
          <cell r="B227" t="str">
            <v>5152</v>
          </cell>
          <cell r="C227" t="str">
            <v>Dthu HĐ TC-Chênh lệch tỷ giá</v>
          </cell>
          <cell r="F227">
            <v>0</v>
          </cell>
          <cell r="G227">
            <v>0</v>
          </cell>
          <cell r="H227">
            <v>0</v>
          </cell>
          <cell r="I227">
            <v>0</v>
          </cell>
        </row>
        <row r="228">
          <cell r="B228" t="str">
            <v>5153</v>
          </cell>
          <cell r="C228" t="str">
            <v>Dthu HĐ TC-Ch/lệch TG đánh giá lại SDCK</v>
          </cell>
          <cell r="F228">
            <v>0</v>
          </cell>
          <cell r="G228">
            <v>0</v>
          </cell>
          <cell r="H228">
            <v>0</v>
          </cell>
          <cell r="I228">
            <v>0</v>
          </cell>
        </row>
        <row r="229">
          <cell r="B229" t="str">
            <v>521</v>
          </cell>
          <cell r="C229" t="str">
            <v>Chiết khấu thương mại</v>
          </cell>
          <cell r="F229">
            <v>0</v>
          </cell>
          <cell r="G229">
            <v>0</v>
          </cell>
          <cell r="H229">
            <v>0</v>
          </cell>
          <cell r="I229">
            <v>0</v>
          </cell>
        </row>
        <row r="230">
          <cell r="B230" t="str">
            <v>531</v>
          </cell>
          <cell r="C230" t="str">
            <v>Hàng bán bị trả lại</v>
          </cell>
          <cell r="F230">
            <v>0</v>
          </cell>
          <cell r="G230">
            <v>0</v>
          </cell>
          <cell r="H230">
            <v>0</v>
          </cell>
          <cell r="I230">
            <v>0</v>
          </cell>
        </row>
        <row r="231">
          <cell r="B231" t="str">
            <v>532</v>
          </cell>
          <cell r="C231" t="str">
            <v>Giảm giá hàng bán</v>
          </cell>
          <cell r="F231">
            <v>0</v>
          </cell>
          <cell r="G231">
            <v>0</v>
          </cell>
          <cell r="H231">
            <v>0</v>
          </cell>
          <cell r="I231">
            <v>0</v>
          </cell>
        </row>
        <row r="232">
          <cell r="B232" t="str">
            <v>611</v>
          </cell>
          <cell r="C232" t="str">
            <v>Mua hàng</v>
          </cell>
          <cell r="D232">
            <v>0</v>
          </cell>
          <cell r="E232">
            <v>0</v>
          </cell>
          <cell r="F232">
            <v>0</v>
          </cell>
          <cell r="G232">
            <v>0</v>
          </cell>
          <cell r="H232">
            <v>0</v>
          </cell>
          <cell r="I232">
            <v>0</v>
          </cell>
        </row>
        <row r="233">
          <cell r="B233" t="str">
            <v>6111</v>
          </cell>
          <cell r="C233" t="str">
            <v>Mua nguyên liệu, vật liệu</v>
          </cell>
          <cell r="F233">
            <v>0</v>
          </cell>
          <cell r="G233">
            <v>0</v>
          </cell>
          <cell r="H233">
            <v>0</v>
          </cell>
          <cell r="I233">
            <v>0</v>
          </cell>
        </row>
        <row r="234">
          <cell r="B234" t="str">
            <v>6112</v>
          </cell>
          <cell r="C234" t="str">
            <v>Mua hàng hoá</v>
          </cell>
          <cell r="F234">
            <v>0</v>
          </cell>
          <cell r="G234">
            <v>0</v>
          </cell>
          <cell r="H234">
            <v>0</v>
          </cell>
          <cell r="I234">
            <v>0</v>
          </cell>
        </row>
        <row r="235">
          <cell r="B235" t="str">
            <v>621</v>
          </cell>
          <cell r="C235" t="str">
            <v>Chi phí nguyên liệu, vật liệu trực tiếp</v>
          </cell>
          <cell r="D235">
            <v>0</v>
          </cell>
          <cell r="E235">
            <v>0</v>
          </cell>
          <cell r="F235">
            <v>0</v>
          </cell>
          <cell r="G235">
            <v>0</v>
          </cell>
          <cell r="H235">
            <v>0</v>
          </cell>
          <cell r="I235">
            <v>0</v>
          </cell>
        </row>
        <row r="236">
          <cell r="B236" t="str">
            <v>6211</v>
          </cell>
          <cell r="C236" t="str">
            <v>CP nguyên liệu, vật liệu chính</v>
          </cell>
          <cell r="F236">
            <v>0</v>
          </cell>
          <cell r="G236">
            <v>0</v>
          </cell>
          <cell r="H236">
            <v>0</v>
          </cell>
          <cell r="I236">
            <v>0</v>
          </cell>
        </row>
        <row r="237">
          <cell r="B237" t="str">
            <v>6212</v>
          </cell>
          <cell r="C237" t="str">
            <v>CP nguyên liệu, vật liệu phụ</v>
          </cell>
          <cell r="F237">
            <v>0</v>
          </cell>
          <cell r="G237">
            <v>0</v>
          </cell>
          <cell r="H237">
            <v>0</v>
          </cell>
          <cell r="I237">
            <v>0</v>
          </cell>
        </row>
        <row r="238">
          <cell r="B238" t="str">
            <v>622</v>
          </cell>
          <cell r="C238" t="str">
            <v>Chi phí nhân công trực tiếp</v>
          </cell>
          <cell r="D238">
            <v>0</v>
          </cell>
          <cell r="E238">
            <v>0</v>
          </cell>
          <cell r="F238">
            <v>0</v>
          </cell>
          <cell r="G238">
            <v>0</v>
          </cell>
          <cell r="H238">
            <v>0</v>
          </cell>
          <cell r="I238">
            <v>0</v>
          </cell>
        </row>
        <row r="239">
          <cell r="B239" t="str">
            <v>6221</v>
          </cell>
          <cell r="C239" t="str">
            <v>Chi phí nhân công trực tiếp</v>
          </cell>
          <cell r="F239">
            <v>0</v>
          </cell>
          <cell r="G239">
            <v>0</v>
          </cell>
          <cell r="H239">
            <v>0</v>
          </cell>
          <cell r="I239">
            <v>0</v>
          </cell>
        </row>
        <row r="240">
          <cell r="B240" t="str">
            <v>623</v>
          </cell>
          <cell r="C240" t="str">
            <v>Chi phí sử dụng máy thi công</v>
          </cell>
          <cell r="D240">
            <v>0</v>
          </cell>
          <cell r="E240">
            <v>0</v>
          </cell>
          <cell r="F240">
            <v>0</v>
          </cell>
          <cell r="G240">
            <v>0</v>
          </cell>
          <cell r="H240">
            <v>0</v>
          </cell>
          <cell r="I240">
            <v>0</v>
          </cell>
        </row>
        <row r="241">
          <cell r="B241" t="str">
            <v>6231</v>
          </cell>
          <cell r="C241" t="str">
            <v>Chi phí nhân công</v>
          </cell>
          <cell r="F241">
            <v>0</v>
          </cell>
          <cell r="G241">
            <v>0</v>
          </cell>
          <cell r="H241">
            <v>0</v>
          </cell>
          <cell r="I241">
            <v>0</v>
          </cell>
        </row>
        <row r="242">
          <cell r="B242" t="str">
            <v>6232</v>
          </cell>
          <cell r="C242" t="str">
            <v>Chi phí vật liệu</v>
          </cell>
          <cell r="F242">
            <v>0</v>
          </cell>
          <cell r="G242">
            <v>0</v>
          </cell>
          <cell r="H242">
            <v>0</v>
          </cell>
          <cell r="I242">
            <v>0</v>
          </cell>
        </row>
        <row r="243">
          <cell r="B243" t="str">
            <v>6233</v>
          </cell>
          <cell r="C243" t="str">
            <v>Chi phí dụng cụ sản xuất</v>
          </cell>
          <cell r="F243">
            <v>0</v>
          </cell>
          <cell r="G243">
            <v>0</v>
          </cell>
          <cell r="H243">
            <v>0</v>
          </cell>
          <cell r="I243">
            <v>0</v>
          </cell>
        </row>
        <row r="244">
          <cell r="B244" t="str">
            <v>6234</v>
          </cell>
          <cell r="C244" t="str">
            <v>Chi phí khấu hao máy thi công</v>
          </cell>
          <cell r="F244">
            <v>0</v>
          </cell>
          <cell r="G244">
            <v>0</v>
          </cell>
          <cell r="H244">
            <v>0</v>
          </cell>
          <cell r="I244">
            <v>0</v>
          </cell>
        </row>
        <row r="245">
          <cell r="B245" t="str">
            <v>6237</v>
          </cell>
          <cell r="C245" t="str">
            <v>Chi phí dịch vụ mua ngoài</v>
          </cell>
          <cell r="F245">
            <v>0</v>
          </cell>
          <cell r="G245">
            <v>0</v>
          </cell>
          <cell r="H245">
            <v>0</v>
          </cell>
          <cell r="I245">
            <v>0</v>
          </cell>
        </row>
        <row r="246">
          <cell r="B246" t="str">
            <v>6238</v>
          </cell>
          <cell r="C246" t="str">
            <v>Chi phí bằng tiền khác</v>
          </cell>
          <cell r="F246">
            <v>0</v>
          </cell>
          <cell r="G246">
            <v>0</v>
          </cell>
          <cell r="H246">
            <v>0</v>
          </cell>
          <cell r="I246">
            <v>0</v>
          </cell>
        </row>
        <row r="247">
          <cell r="B247" t="str">
            <v>627</v>
          </cell>
          <cell r="C247" t="str">
            <v>Chi phí sản xuất chung</v>
          </cell>
          <cell r="D247">
            <v>0</v>
          </cell>
          <cell r="E247">
            <v>0</v>
          </cell>
          <cell r="F247">
            <v>0</v>
          </cell>
          <cell r="G247">
            <v>0</v>
          </cell>
          <cell r="H247">
            <v>0</v>
          </cell>
          <cell r="I247">
            <v>0</v>
          </cell>
        </row>
        <row r="248">
          <cell r="B248" t="str">
            <v>6271</v>
          </cell>
          <cell r="C248" t="str">
            <v>Chi phí nhân viên phân xưởng</v>
          </cell>
          <cell r="F248">
            <v>0</v>
          </cell>
          <cell r="G248">
            <v>0</v>
          </cell>
          <cell r="H248">
            <v>0</v>
          </cell>
          <cell r="I248">
            <v>0</v>
          </cell>
        </row>
        <row r="249">
          <cell r="B249" t="str">
            <v>6272</v>
          </cell>
          <cell r="C249" t="str">
            <v>Chi phí vật liệu</v>
          </cell>
          <cell r="F249">
            <v>0</v>
          </cell>
          <cell r="G249">
            <v>0</v>
          </cell>
          <cell r="H249">
            <v>0</v>
          </cell>
          <cell r="I249">
            <v>0</v>
          </cell>
        </row>
        <row r="250">
          <cell r="B250" t="str">
            <v>6273</v>
          </cell>
          <cell r="C250" t="str">
            <v>Chi phí dụng cụ sản xuất</v>
          </cell>
          <cell r="F250">
            <v>0</v>
          </cell>
          <cell r="G250">
            <v>0</v>
          </cell>
          <cell r="H250">
            <v>0</v>
          </cell>
          <cell r="I250">
            <v>0</v>
          </cell>
        </row>
        <row r="251">
          <cell r="B251" t="str">
            <v>6274</v>
          </cell>
          <cell r="C251" t="str">
            <v>Chi phí khấu hao TSCĐ</v>
          </cell>
          <cell r="F251">
            <v>0</v>
          </cell>
          <cell r="G251">
            <v>0</v>
          </cell>
          <cell r="H251">
            <v>0</v>
          </cell>
          <cell r="I251">
            <v>0</v>
          </cell>
        </row>
        <row r="252">
          <cell r="B252" t="str">
            <v>6277</v>
          </cell>
          <cell r="C252" t="str">
            <v>Chi phí dịch vụ mua ngoài</v>
          </cell>
          <cell r="F252">
            <v>0</v>
          </cell>
          <cell r="G252">
            <v>0</v>
          </cell>
          <cell r="H252">
            <v>0</v>
          </cell>
          <cell r="I252">
            <v>0</v>
          </cell>
        </row>
        <row r="253">
          <cell r="B253" t="str">
            <v>6278</v>
          </cell>
          <cell r="C253" t="str">
            <v>Chi phí khác</v>
          </cell>
          <cell r="F253">
            <v>0</v>
          </cell>
          <cell r="G253">
            <v>0</v>
          </cell>
          <cell r="H253">
            <v>0</v>
          </cell>
          <cell r="I253">
            <v>0</v>
          </cell>
        </row>
        <row r="254">
          <cell r="B254" t="str">
            <v>631</v>
          </cell>
          <cell r="C254" t="str">
            <v>Giá thành sản xuất</v>
          </cell>
          <cell r="F254">
            <v>0</v>
          </cell>
          <cell r="G254">
            <v>0</v>
          </cell>
          <cell r="H254">
            <v>0</v>
          </cell>
          <cell r="I254">
            <v>0</v>
          </cell>
        </row>
        <row r="255">
          <cell r="B255" t="str">
            <v>632</v>
          </cell>
          <cell r="C255" t="str">
            <v>Giá vốn hàng bán</v>
          </cell>
          <cell r="D255">
            <v>0</v>
          </cell>
          <cell r="E255">
            <v>0</v>
          </cell>
          <cell r="F255">
            <v>22685349000</v>
          </cell>
          <cell r="G255">
            <v>22685349000</v>
          </cell>
          <cell r="H255">
            <v>0</v>
          </cell>
          <cell r="I255">
            <v>0</v>
          </cell>
        </row>
        <row r="256">
          <cell r="B256" t="str">
            <v>6321</v>
          </cell>
          <cell r="C256" t="str">
            <v>Giá vốn hàng hóa</v>
          </cell>
          <cell r="F256">
            <v>0</v>
          </cell>
          <cell r="G256">
            <v>0</v>
          </cell>
          <cell r="H256">
            <v>0</v>
          </cell>
          <cell r="I256">
            <v>0</v>
          </cell>
        </row>
        <row r="257">
          <cell r="B257" t="str">
            <v>6322</v>
          </cell>
          <cell r="C257" t="str">
            <v>Giá vốn thành phẩm</v>
          </cell>
          <cell r="F257">
            <v>0</v>
          </cell>
          <cell r="G257">
            <v>0</v>
          </cell>
          <cell r="H257">
            <v>0</v>
          </cell>
          <cell r="I257">
            <v>0</v>
          </cell>
        </row>
        <row r="258">
          <cell r="B258" t="str">
            <v>6323</v>
          </cell>
          <cell r="C258" t="str">
            <v>Giá vốn cung cấp dịch vụ</v>
          </cell>
          <cell r="F258">
            <v>22685349000</v>
          </cell>
          <cell r="G258">
            <v>22685349000</v>
          </cell>
          <cell r="H258">
            <v>0</v>
          </cell>
          <cell r="I258">
            <v>0</v>
          </cell>
        </row>
        <row r="259">
          <cell r="B259" t="str">
            <v>6324</v>
          </cell>
          <cell r="C259" t="str">
            <v>Giá vốn thuế nhập khẩu</v>
          </cell>
          <cell r="F259">
            <v>0</v>
          </cell>
          <cell r="G259">
            <v>0</v>
          </cell>
          <cell r="H259">
            <v>0</v>
          </cell>
          <cell r="I259">
            <v>0</v>
          </cell>
        </row>
        <row r="260">
          <cell r="B260" t="str">
            <v>6327</v>
          </cell>
          <cell r="C260" t="str">
            <v>Giá vốn BĐS đầu tư</v>
          </cell>
          <cell r="F260">
            <v>0</v>
          </cell>
          <cell r="G260">
            <v>0</v>
          </cell>
          <cell r="H260">
            <v>0</v>
          </cell>
          <cell r="I260">
            <v>0</v>
          </cell>
        </row>
        <row r="261">
          <cell r="B261" t="str">
            <v>635</v>
          </cell>
          <cell r="C261" t="str">
            <v>Chi phí tài chính</v>
          </cell>
          <cell r="D261">
            <v>0</v>
          </cell>
          <cell r="E261">
            <v>0</v>
          </cell>
          <cell r="F261">
            <v>130000000</v>
          </cell>
          <cell r="G261">
            <v>130000000</v>
          </cell>
          <cell r="H261">
            <v>0</v>
          </cell>
          <cell r="I261">
            <v>0</v>
          </cell>
        </row>
        <row r="262">
          <cell r="B262" t="str">
            <v>6351</v>
          </cell>
          <cell r="C262" t="str">
            <v>Chi phí HĐ TC-Lãi vay</v>
          </cell>
          <cell r="F262">
            <v>130000000</v>
          </cell>
          <cell r="G262">
            <v>130000000</v>
          </cell>
          <cell r="H262">
            <v>0</v>
          </cell>
          <cell r="I262">
            <v>0</v>
          </cell>
        </row>
        <row r="263">
          <cell r="B263" t="str">
            <v>6352</v>
          </cell>
          <cell r="C263" t="str">
            <v>Chi phí HĐ TC-Ch/lệch tỷ giá</v>
          </cell>
          <cell r="F263">
            <v>0</v>
          </cell>
          <cell r="G263">
            <v>0</v>
          </cell>
          <cell r="H263">
            <v>0</v>
          </cell>
          <cell r="I263">
            <v>0</v>
          </cell>
        </row>
        <row r="264">
          <cell r="B264" t="str">
            <v>6353</v>
          </cell>
          <cell r="C264" t="str">
            <v>Chi phí HĐ TC-Ch/lệch tỷ giá đ/giá lại SDCK</v>
          </cell>
          <cell r="F264">
            <v>0</v>
          </cell>
          <cell r="G264">
            <v>0</v>
          </cell>
          <cell r="H264">
            <v>0</v>
          </cell>
          <cell r="I264">
            <v>0</v>
          </cell>
        </row>
        <row r="265">
          <cell r="B265" t="str">
            <v>6354</v>
          </cell>
          <cell r="C265" t="str">
            <v>Lãi chậm nộp</v>
          </cell>
          <cell r="F265">
            <v>0</v>
          </cell>
          <cell r="G265">
            <v>0</v>
          </cell>
          <cell r="H265">
            <v>0</v>
          </cell>
          <cell r="I265">
            <v>0</v>
          </cell>
        </row>
        <row r="266">
          <cell r="B266" t="str">
            <v>641</v>
          </cell>
          <cell r="C266" t="str">
            <v>Chi phí bán hàng</v>
          </cell>
          <cell r="D266">
            <v>0</v>
          </cell>
          <cell r="E266">
            <v>0</v>
          </cell>
          <cell r="F266">
            <v>4003154401</v>
          </cell>
          <cell r="G266">
            <v>4003154401</v>
          </cell>
          <cell r="H266">
            <v>0</v>
          </cell>
          <cell r="I266">
            <v>0</v>
          </cell>
        </row>
        <row r="267">
          <cell r="B267" t="str">
            <v>6411</v>
          </cell>
          <cell r="C267" t="str">
            <v>Chi phí lương NV BH</v>
          </cell>
          <cell r="F267">
            <v>4003154401</v>
          </cell>
          <cell r="G267">
            <v>4003154401</v>
          </cell>
          <cell r="H267">
            <v>0</v>
          </cell>
          <cell r="I267">
            <v>0</v>
          </cell>
        </row>
        <row r="268">
          <cell r="B268" t="str">
            <v>6412</v>
          </cell>
          <cell r="C268" t="str">
            <v>Chi phí vật liệu bao bì</v>
          </cell>
          <cell r="F268">
            <v>0</v>
          </cell>
          <cell r="G268">
            <v>0</v>
          </cell>
          <cell r="H268">
            <v>0</v>
          </cell>
          <cell r="I268">
            <v>0</v>
          </cell>
        </row>
        <row r="269">
          <cell r="B269" t="str">
            <v>6413</v>
          </cell>
          <cell r="C269" t="str">
            <v>Chi phí dụng cụ, đồ dùng</v>
          </cell>
          <cell r="F269">
            <v>0</v>
          </cell>
          <cell r="G269">
            <v>0</v>
          </cell>
          <cell r="H269">
            <v>0</v>
          </cell>
          <cell r="I269">
            <v>0</v>
          </cell>
        </row>
        <row r="270">
          <cell r="B270" t="str">
            <v>6414</v>
          </cell>
          <cell r="C270" t="str">
            <v>Chi phí khấu hao TSCĐ</v>
          </cell>
          <cell r="F270">
            <v>0</v>
          </cell>
          <cell r="G270">
            <v>0</v>
          </cell>
          <cell r="H270">
            <v>0</v>
          </cell>
          <cell r="I270">
            <v>0</v>
          </cell>
        </row>
        <row r="271">
          <cell r="B271" t="str">
            <v>6415</v>
          </cell>
          <cell r="C271" t="str">
            <v>Chi phí bảo hành</v>
          </cell>
          <cell r="F271">
            <v>0</v>
          </cell>
          <cell r="G271">
            <v>0</v>
          </cell>
          <cell r="H271">
            <v>0</v>
          </cell>
          <cell r="I271">
            <v>0</v>
          </cell>
        </row>
        <row r="272">
          <cell r="B272" t="str">
            <v>6417</v>
          </cell>
          <cell r="C272" t="str">
            <v>Chi phí dịch vụ mua ngoài</v>
          </cell>
          <cell r="F272">
            <v>0</v>
          </cell>
          <cell r="G272">
            <v>0</v>
          </cell>
          <cell r="H272">
            <v>0</v>
          </cell>
          <cell r="I272">
            <v>0</v>
          </cell>
        </row>
        <row r="273">
          <cell r="B273" t="str">
            <v>6418</v>
          </cell>
          <cell r="C273" t="str">
            <v>Chi phí bằng tiền khác</v>
          </cell>
          <cell r="F273">
            <v>0</v>
          </cell>
          <cell r="G273">
            <v>0</v>
          </cell>
          <cell r="H273">
            <v>0</v>
          </cell>
          <cell r="I273">
            <v>0</v>
          </cell>
        </row>
        <row r="274">
          <cell r="B274" t="str">
            <v>6419</v>
          </cell>
          <cell r="C274" t="str">
            <v>Chi phí hoa hồng</v>
          </cell>
          <cell r="F274">
            <v>0</v>
          </cell>
          <cell r="G274">
            <v>0</v>
          </cell>
          <cell r="H274">
            <v>0</v>
          </cell>
          <cell r="I274">
            <v>0</v>
          </cell>
        </row>
        <row r="275">
          <cell r="B275" t="str">
            <v>642</v>
          </cell>
          <cell r="C275" t="str">
            <v>Chi phí quản lý kinh doanh</v>
          </cell>
          <cell r="D275">
            <v>0</v>
          </cell>
          <cell r="E275">
            <v>0</v>
          </cell>
          <cell r="F275">
            <v>3462679362</v>
          </cell>
          <cell r="G275">
            <v>3462679362</v>
          </cell>
          <cell r="H275">
            <v>0</v>
          </cell>
          <cell r="I275">
            <v>0</v>
          </cell>
        </row>
        <row r="276">
          <cell r="B276" t="str">
            <v>6421</v>
          </cell>
          <cell r="C276" t="str">
            <v>Chi phí nhân viên quản lý</v>
          </cell>
          <cell r="F276">
            <v>0</v>
          </cell>
          <cell r="G276">
            <v>0</v>
          </cell>
          <cell r="H276">
            <v>0</v>
          </cell>
          <cell r="I276">
            <v>0</v>
          </cell>
        </row>
        <row r="277">
          <cell r="B277" t="str">
            <v>6422</v>
          </cell>
          <cell r="C277" t="str">
            <v>Chi phí vật liệu quản lý</v>
          </cell>
          <cell r="F277">
            <v>3462679362</v>
          </cell>
          <cell r="G277">
            <v>3462679362</v>
          </cell>
          <cell r="H277">
            <v>0</v>
          </cell>
          <cell r="I277">
            <v>0</v>
          </cell>
        </row>
        <row r="278">
          <cell r="B278" t="str">
            <v>6423</v>
          </cell>
          <cell r="C278" t="str">
            <v>Chi phí đồ dùng văn phòng</v>
          </cell>
          <cell r="F278">
            <v>0</v>
          </cell>
          <cell r="G278">
            <v>0</v>
          </cell>
          <cell r="H278">
            <v>0</v>
          </cell>
          <cell r="I278">
            <v>0</v>
          </cell>
        </row>
        <row r="279">
          <cell r="B279" t="str">
            <v>6424</v>
          </cell>
          <cell r="C279" t="str">
            <v>Chi phí khấu hao TSCĐ</v>
          </cell>
          <cell r="F279">
            <v>0</v>
          </cell>
          <cell r="G279">
            <v>0</v>
          </cell>
          <cell r="H279">
            <v>0</v>
          </cell>
          <cell r="I279">
            <v>0</v>
          </cell>
        </row>
        <row r="280">
          <cell r="B280" t="str">
            <v>6425</v>
          </cell>
          <cell r="C280" t="str">
            <v>Thuế, phí và lệ phí</v>
          </cell>
          <cell r="F280">
            <v>0</v>
          </cell>
          <cell r="G280">
            <v>0</v>
          </cell>
          <cell r="H280">
            <v>0</v>
          </cell>
          <cell r="I280">
            <v>0</v>
          </cell>
        </row>
        <row r="281">
          <cell r="B281" t="str">
            <v>6426</v>
          </cell>
          <cell r="C281" t="str">
            <v>Chi phí dự phòng</v>
          </cell>
          <cell r="F281">
            <v>0</v>
          </cell>
          <cell r="G281">
            <v>0</v>
          </cell>
          <cell r="H281">
            <v>0</v>
          </cell>
          <cell r="I281">
            <v>0</v>
          </cell>
        </row>
        <row r="282">
          <cell r="B282" t="str">
            <v>6427</v>
          </cell>
          <cell r="C282" t="str">
            <v>Chi phí dịch vụ mua ngoài</v>
          </cell>
          <cell r="F282">
            <v>0</v>
          </cell>
          <cell r="G282">
            <v>0</v>
          </cell>
          <cell r="H282">
            <v>0</v>
          </cell>
          <cell r="I282">
            <v>0</v>
          </cell>
        </row>
        <row r="283">
          <cell r="B283" t="str">
            <v>6428</v>
          </cell>
          <cell r="C283" t="str">
            <v>Chi phí bằng tiền khác</v>
          </cell>
          <cell r="F283">
            <v>0</v>
          </cell>
          <cell r="G283">
            <v>0</v>
          </cell>
          <cell r="H283">
            <v>0</v>
          </cell>
          <cell r="I283">
            <v>0</v>
          </cell>
        </row>
        <row r="284">
          <cell r="B284" t="str">
            <v>6429</v>
          </cell>
          <cell r="C284" t="str">
            <v>Chi phí linh tinh</v>
          </cell>
          <cell r="F284">
            <v>0</v>
          </cell>
          <cell r="G284">
            <v>0</v>
          </cell>
          <cell r="H284">
            <v>0</v>
          </cell>
          <cell r="I284">
            <v>0</v>
          </cell>
        </row>
        <row r="285">
          <cell r="B285" t="str">
            <v>711</v>
          </cell>
          <cell r="C285" t="str">
            <v>Thu nhập khác</v>
          </cell>
          <cell r="F285">
            <v>563289000</v>
          </cell>
          <cell r="G285">
            <v>563289000</v>
          </cell>
          <cell r="H285">
            <v>0</v>
          </cell>
          <cell r="I285">
            <v>0</v>
          </cell>
        </row>
        <row r="286">
          <cell r="B286" t="str">
            <v>811</v>
          </cell>
          <cell r="C286" t="str">
            <v>Chi phí khác</v>
          </cell>
          <cell r="F286">
            <v>0</v>
          </cell>
          <cell r="G286">
            <v>0</v>
          </cell>
          <cell r="H286">
            <v>0</v>
          </cell>
          <cell r="I286">
            <v>0</v>
          </cell>
        </row>
        <row r="287">
          <cell r="B287" t="str">
            <v>821</v>
          </cell>
          <cell r="C287" t="str">
            <v>Chi phí thuế thu nhập doanh nghiệp</v>
          </cell>
          <cell r="D287">
            <v>0</v>
          </cell>
          <cell r="E287">
            <v>0</v>
          </cell>
          <cell r="F287">
            <v>196544881</v>
          </cell>
          <cell r="G287">
            <v>196544881</v>
          </cell>
          <cell r="H287">
            <v>0</v>
          </cell>
          <cell r="I287">
            <v>0</v>
          </cell>
        </row>
        <row r="288">
          <cell r="B288" t="str">
            <v>8211</v>
          </cell>
          <cell r="C288" t="str">
            <v>Chi phí thuế TNDN hiện hành</v>
          </cell>
          <cell r="F288">
            <v>196544881</v>
          </cell>
          <cell r="G288">
            <v>196544881</v>
          </cell>
          <cell r="H288">
            <v>0</v>
          </cell>
          <cell r="I288">
            <v>0</v>
          </cell>
        </row>
        <row r="289">
          <cell r="B289" t="str">
            <v>8212</v>
          </cell>
          <cell r="C289" t="str">
            <v>Chi phí thuế TNDN hoãn lại</v>
          </cell>
          <cell r="F289">
            <v>0</v>
          </cell>
          <cell r="G289">
            <v>0</v>
          </cell>
          <cell r="H289">
            <v>0</v>
          </cell>
          <cell r="I289">
            <v>0</v>
          </cell>
        </row>
        <row r="290">
          <cell r="B290" t="str">
            <v>911</v>
          </cell>
          <cell r="C290" t="str">
            <v>Xác định kết quả kinh doanh</v>
          </cell>
          <cell r="F290">
            <v>31067362287</v>
          </cell>
          <cell r="G290">
            <v>31067362287</v>
          </cell>
          <cell r="H290">
            <v>0</v>
          </cell>
          <cell r="I290">
            <v>0</v>
          </cell>
        </row>
        <row r="291">
          <cell r="B291" t="str">
            <v>001</v>
          </cell>
          <cell r="C291" t="str">
            <v>Tài sản thuê ngoài</v>
          </cell>
          <cell r="F291">
            <v>0</v>
          </cell>
          <cell r="G291">
            <v>0</v>
          </cell>
          <cell r="H291">
            <v>0</v>
          </cell>
          <cell r="I291">
            <v>0</v>
          </cell>
        </row>
        <row r="292">
          <cell r="B292" t="str">
            <v>002</v>
          </cell>
          <cell r="C292" t="str">
            <v>Vật tư, hàng hóa nhận giữ hộ, nhận gia công</v>
          </cell>
          <cell r="F292">
            <v>0</v>
          </cell>
          <cell r="G292">
            <v>0</v>
          </cell>
          <cell r="H292">
            <v>0</v>
          </cell>
          <cell r="I292">
            <v>0</v>
          </cell>
        </row>
        <row r="293">
          <cell r="B293" t="str">
            <v>003</v>
          </cell>
          <cell r="C293" t="str">
            <v>Hàng hóa nhận bán hộ, nhận ký gửi, ký cược</v>
          </cell>
          <cell r="F293">
            <v>0</v>
          </cell>
          <cell r="G293">
            <v>0</v>
          </cell>
          <cell r="H293">
            <v>0</v>
          </cell>
          <cell r="I293">
            <v>0</v>
          </cell>
        </row>
        <row r="294">
          <cell r="B294" t="str">
            <v>004</v>
          </cell>
          <cell r="C294" t="str">
            <v>Nợ khó đòi đã xử lý</v>
          </cell>
          <cell r="F294">
            <v>0</v>
          </cell>
          <cell r="G294">
            <v>0</v>
          </cell>
          <cell r="H294">
            <v>0</v>
          </cell>
          <cell r="I294">
            <v>0</v>
          </cell>
        </row>
        <row r="295">
          <cell r="B295" t="str">
            <v>007</v>
          </cell>
          <cell r="C295" t="str">
            <v>Ngoại tệ các loại</v>
          </cell>
          <cell r="F295">
            <v>0</v>
          </cell>
          <cell r="G295">
            <v>0</v>
          </cell>
          <cell r="H295">
            <v>0</v>
          </cell>
          <cell r="I295">
            <v>0</v>
          </cell>
        </row>
        <row r="296">
          <cell r="B296" t="str">
            <v>008</v>
          </cell>
          <cell r="C296" t="str">
            <v>Dự toán chi sự nghiệp, dự án</v>
          </cell>
          <cell r="F296">
            <v>0</v>
          </cell>
          <cell r="G296">
            <v>0</v>
          </cell>
          <cell r="H296">
            <v>0</v>
          </cell>
          <cell r="I296">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DATABASE"/>
      <sheetName val="pregancy"/>
      <sheetName val="MATERNITY"/>
      <sheetName val="YTD  SICKLEAVE "/>
      <sheetName val="YEAR PIVOT"/>
      <sheetName val="DEPT% "/>
      <sheetName val="LINK PIVOT"/>
      <sheetName val="COLUMM"/>
      <sheetName val="00000000"/>
      <sheetName val="10000000"/>
      <sheetName val="XL4Test5"/>
    </sheetNames>
    <sheetDataSet>
      <sheetData sheetId="0"/>
      <sheetData sheetId="1"/>
      <sheetData sheetId="2"/>
      <sheetData sheetId="3"/>
      <sheetData sheetId="4"/>
      <sheetData sheetId="5">
        <row r="6">
          <cell r="A6" t="str">
            <v>CONFIRMED BY</v>
          </cell>
          <cell r="B6" t="str">
            <v>(All)</v>
          </cell>
        </row>
        <row r="7">
          <cell r="A7" t="str">
            <v>DEPT</v>
          </cell>
          <cell r="B7" t="str">
            <v>HK</v>
          </cell>
        </row>
        <row r="8">
          <cell r="A8" t="str">
            <v>MONTH</v>
          </cell>
          <cell r="B8" t="str">
            <v>(All)</v>
          </cell>
        </row>
        <row r="9">
          <cell r="A9" t="str">
            <v>No.DAYS</v>
          </cell>
          <cell r="B9" t="str">
            <v>(All)</v>
          </cell>
        </row>
        <row r="10">
          <cell r="A10" t="str">
            <v>HOSPITALISTION</v>
          </cell>
          <cell r="B10" t="str">
            <v>(All)</v>
          </cell>
        </row>
        <row r="12">
          <cell r="A12" t="str">
            <v>No.DAYS</v>
          </cell>
        </row>
        <row r="13">
          <cell r="A13" t="str">
            <v>NAME</v>
          </cell>
          <cell r="B13" t="str">
            <v>DIAGNOSIS</v>
          </cell>
          <cell r="C13" t="str">
            <v>DESCRIPTION</v>
          </cell>
          <cell r="D13" t="str">
            <v>Total</v>
          </cell>
        </row>
        <row r="14">
          <cell r="A14" t="str">
            <v>Kim Dung</v>
          </cell>
          <cell r="B14" t="str">
            <v>labour accident</v>
          </cell>
          <cell r="C14" t="str">
            <v>8/8/04-23/9/04</v>
          </cell>
          <cell r="D14">
            <v>48</v>
          </cell>
        </row>
        <row r="15">
          <cell r="B15" t="str">
            <v>Lipothemia</v>
          </cell>
          <cell r="C15">
            <v>38105</v>
          </cell>
          <cell r="D15">
            <v>1</v>
          </cell>
        </row>
        <row r="16">
          <cell r="A16" t="str">
            <v>Kim Dung Total</v>
          </cell>
          <cell r="D16">
            <v>49</v>
          </cell>
        </row>
        <row r="17">
          <cell r="A17" t="str">
            <v>Kim Lieân</v>
          </cell>
          <cell r="B17" t="str">
            <v>Prenatal Check up</v>
          </cell>
          <cell r="C17" t="str">
            <v>17/8/04</v>
          </cell>
          <cell r="D17">
            <v>1</v>
          </cell>
        </row>
        <row r="18">
          <cell r="C18">
            <v>38162</v>
          </cell>
          <cell r="D18">
            <v>1</v>
          </cell>
        </row>
        <row r="19">
          <cell r="A19" t="str">
            <v>Kim Lieân Total</v>
          </cell>
          <cell r="D19">
            <v>2</v>
          </cell>
        </row>
        <row r="20">
          <cell r="A20" t="str">
            <v>Kim Oanh</v>
          </cell>
          <cell r="B20" t="str">
            <v>Pharyngitis</v>
          </cell>
          <cell r="C20" t="str">
            <v>26/5-28/5/04</v>
          </cell>
          <cell r="D20">
            <v>3</v>
          </cell>
        </row>
        <row r="21">
          <cell r="A21" t="str">
            <v>Kim Oanh Total</v>
          </cell>
          <cell r="D21">
            <v>3</v>
          </cell>
        </row>
        <row r="22">
          <cell r="A22" t="str">
            <v>Kim Thoa</v>
          </cell>
          <cell r="B22" t="str">
            <v>check of IUDs</v>
          </cell>
          <cell r="C22">
            <v>38028</v>
          </cell>
          <cell r="D22">
            <v>1</v>
          </cell>
        </row>
        <row r="23">
          <cell r="B23" t="str">
            <v>Flu</v>
          </cell>
          <cell r="C23" t="str">
            <v>10/8-14/8/04</v>
          </cell>
          <cell r="D23">
            <v>5</v>
          </cell>
        </row>
        <row r="24">
          <cell r="B24" t="str">
            <v>Outboard treatment</v>
          </cell>
          <cell r="C24">
            <v>38119</v>
          </cell>
          <cell r="D24">
            <v>1</v>
          </cell>
        </row>
        <row r="25">
          <cell r="A25" t="str">
            <v>Kim Thoa Total</v>
          </cell>
          <cell r="D25">
            <v>7</v>
          </cell>
        </row>
        <row r="26">
          <cell r="A26" t="str">
            <v>Myõ Nhung</v>
          </cell>
          <cell r="B26" t="str">
            <v>Sickchild</v>
          </cell>
          <cell r="C26" t="str">
            <v>14-19/1/04</v>
          </cell>
          <cell r="D26">
            <v>8</v>
          </cell>
        </row>
        <row r="27">
          <cell r="A27" t="str">
            <v>Myõ Nhung Total</v>
          </cell>
          <cell r="D27">
            <v>8</v>
          </cell>
        </row>
        <row r="28">
          <cell r="A28" t="str">
            <v>Ngoïc Minh</v>
          </cell>
          <cell r="B28" t="str">
            <v>1.5 month threatened abortion</v>
          </cell>
          <cell r="C28" t="str">
            <v>11-15/2/04</v>
          </cell>
          <cell r="D28">
            <v>5</v>
          </cell>
        </row>
        <row r="29">
          <cell r="B29" t="str">
            <v>2 month abortion</v>
          </cell>
          <cell r="C29" t="str">
            <v>26/2-1/3/04</v>
          </cell>
          <cell r="D29">
            <v>5</v>
          </cell>
        </row>
        <row r="30">
          <cell r="B30" t="str">
            <v>Outboard treatment</v>
          </cell>
          <cell r="C30" t="str">
            <v>15/6-17/6/04</v>
          </cell>
          <cell r="D30">
            <v>3</v>
          </cell>
        </row>
        <row r="31">
          <cell r="B31" t="str">
            <v>Prenatal Check up</v>
          </cell>
          <cell r="C31">
            <v>38280</v>
          </cell>
          <cell r="D31">
            <v>1</v>
          </cell>
        </row>
        <row r="32">
          <cell r="A32" t="str">
            <v>Ngoïc Minh Total</v>
          </cell>
          <cell r="D32">
            <v>14</v>
          </cell>
        </row>
        <row r="33">
          <cell r="A33" t="str">
            <v>Nguyeân Höông</v>
          </cell>
          <cell r="B33" t="str">
            <v>Flu</v>
          </cell>
          <cell r="C33">
            <v>38106</v>
          </cell>
          <cell r="D33">
            <v>1</v>
          </cell>
        </row>
        <row r="34">
          <cell r="A34" t="str">
            <v>Nguyeân Höông Total</v>
          </cell>
          <cell r="D34">
            <v>1</v>
          </cell>
        </row>
        <row r="35">
          <cell r="A35" t="str">
            <v>Nhö Haø</v>
          </cell>
          <cell r="B35" t="str">
            <v>Acute Cystitis</v>
          </cell>
          <cell r="C35" t="str">
            <v>5/10-7/10/04</v>
          </cell>
          <cell r="D35">
            <v>3</v>
          </cell>
        </row>
        <row r="36">
          <cell r="B36" t="str">
            <v>family method</v>
          </cell>
          <cell r="C36" t="str">
            <v>8/6-10/6/04</v>
          </cell>
          <cell r="D36">
            <v>3</v>
          </cell>
        </row>
        <row r="37">
          <cell r="C37">
            <v>38174</v>
          </cell>
          <cell r="D37">
            <v>1</v>
          </cell>
        </row>
        <row r="38">
          <cell r="A38" t="str">
            <v>Nhö Haø Total</v>
          </cell>
          <cell r="D38">
            <v>7</v>
          </cell>
        </row>
        <row r="39">
          <cell r="A39" t="str">
            <v>Thaønh Ñoan</v>
          </cell>
          <cell r="B39" t="str">
            <v>Flu</v>
          </cell>
          <cell r="C39" t="str">
            <v>31/5-3/6/04</v>
          </cell>
          <cell r="D39">
            <v>4</v>
          </cell>
        </row>
        <row r="40">
          <cell r="B40" t="str">
            <v>food poisoning</v>
          </cell>
          <cell r="C40">
            <v>38284</v>
          </cell>
          <cell r="D40">
            <v>1</v>
          </cell>
        </row>
        <row r="41">
          <cell r="A41" t="str">
            <v>Thaønh Ñoan Total</v>
          </cell>
          <cell r="D41">
            <v>5</v>
          </cell>
        </row>
        <row r="42">
          <cell r="A42" t="str">
            <v>Thò Kieân</v>
          </cell>
          <cell r="B42" t="str">
            <v>Sickchild</v>
          </cell>
          <cell r="C42" t="str">
            <v>30/4-2/5/04</v>
          </cell>
          <cell r="D42">
            <v>3</v>
          </cell>
        </row>
        <row r="43">
          <cell r="C43" t="str">
            <v>5/5-9/5/04</v>
          </cell>
          <cell r="D43">
            <v>5</v>
          </cell>
        </row>
        <row r="44">
          <cell r="A44" t="str">
            <v>Thò Kieân Total</v>
          </cell>
          <cell r="D44">
            <v>8</v>
          </cell>
        </row>
        <row r="45">
          <cell r="A45" t="str">
            <v>Thò Laønh</v>
          </cell>
          <cell r="B45" t="str">
            <v>hypertension</v>
          </cell>
          <cell r="C45" t="str">
            <v>17-18/3/04</v>
          </cell>
          <cell r="D45">
            <v>2</v>
          </cell>
        </row>
        <row r="46">
          <cell r="B46" t="str">
            <v>Outboard treatment</v>
          </cell>
          <cell r="C46" t="str">
            <v>8/10-12/10/04</v>
          </cell>
          <cell r="D46">
            <v>5</v>
          </cell>
        </row>
        <row r="47">
          <cell r="B47" t="str">
            <v>paralysis of left arm</v>
          </cell>
          <cell r="C47" t="str">
            <v>26/5-3/6/04</v>
          </cell>
          <cell r="D47">
            <v>9</v>
          </cell>
        </row>
        <row r="48">
          <cell r="A48" t="str">
            <v>Thò Laønh Total</v>
          </cell>
          <cell r="D48">
            <v>16</v>
          </cell>
        </row>
        <row r="49">
          <cell r="A49" t="str">
            <v>Thò Ñieåu</v>
          </cell>
          <cell r="B49" t="str">
            <v>penetrated left ear drum/ostitis</v>
          </cell>
          <cell r="C49" t="str">
            <v>3/6-18/6/04</v>
          </cell>
          <cell r="D49">
            <v>15</v>
          </cell>
        </row>
        <row r="50">
          <cell r="A50" t="str">
            <v>Thò Ñieåu Total</v>
          </cell>
          <cell r="D50">
            <v>15</v>
          </cell>
        </row>
        <row r="51">
          <cell r="A51" t="str">
            <v>Thò Thôm</v>
          </cell>
          <cell r="B51" t="str">
            <v>ankle spraine</v>
          </cell>
          <cell r="C51">
            <v>38081</v>
          </cell>
          <cell r="D51">
            <v>1</v>
          </cell>
        </row>
        <row r="52">
          <cell r="B52" t="str">
            <v>face trauma</v>
          </cell>
          <cell r="C52" t="str">
            <v>19/10-25/10/04</v>
          </cell>
          <cell r="D52">
            <v>7</v>
          </cell>
        </row>
        <row r="53">
          <cell r="A53" t="str">
            <v>Thò Thôm Total</v>
          </cell>
          <cell r="D53">
            <v>8</v>
          </cell>
        </row>
        <row r="54">
          <cell r="A54" t="str">
            <v>Thò Thu-Dora</v>
          </cell>
          <cell r="B54" t="str">
            <v>Outboard treatment</v>
          </cell>
          <cell r="C54" t="str">
            <v>25/5-29/5/04</v>
          </cell>
          <cell r="D54">
            <v>5</v>
          </cell>
        </row>
        <row r="55">
          <cell r="A55" t="str">
            <v>Thò Thu-Dora Total</v>
          </cell>
          <cell r="D55">
            <v>5</v>
          </cell>
        </row>
        <row r="56">
          <cell r="A56" t="str">
            <v>Traàn Hoäi</v>
          </cell>
          <cell r="B56" t="str">
            <v>Motor accident</v>
          </cell>
          <cell r="C56">
            <v>38269</v>
          </cell>
          <cell r="D56">
            <v>1</v>
          </cell>
        </row>
        <row r="57">
          <cell r="B57" t="str">
            <v>Pharyngitis</v>
          </cell>
          <cell r="C57">
            <v>38029</v>
          </cell>
          <cell r="D57">
            <v>1</v>
          </cell>
        </row>
        <row r="58">
          <cell r="A58" t="str">
            <v>Traàn Hoäi Total</v>
          </cell>
          <cell r="D58">
            <v>2</v>
          </cell>
        </row>
        <row r="59">
          <cell r="A59" t="str">
            <v>Tuyeát Hoa</v>
          </cell>
          <cell r="B59" t="str">
            <v>abdominal pain/3 month pregnancy</v>
          </cell>
          <cell r="C59" t="str">
            <v>11/10-13/10/04</v>
          </cell>
          <cell r="D59">
            <v>3</v>
          </cell>
        </row>
        <row r="60">
          <cell r="B60" t="str">
            <v>odontitis</v>
          </cell>
          <cell r="C60" t="str">
            <v>15-19/3/04</v>
          </cell>
          <cell r="D60">
            <v>5</v>
          </cell>
        </row>
        <row r="61">
          <cell r="B61" t="str">
            <v>Prenatal Check up</v>
          </cell>
          <cell r="C61">
            <v>38223</v>
          </cell>
          <cell r="D61">
            <v>1</v>
          </cell>
        </row>
        <row r="62">
          <cell r="A62" t="str">
            <v>Tuyeát Hoa Total</v>
          </cell>
          <cell r="D62">
            <v>9</v>
          </cell>
        </row>
        <row r="63">
          <cell r="A63" t="str">
            <v>Grand Total</v>
          </cell>
          <cell r="D63">
            <v>159</v>
          </cell>
        </row>
      </sheetData>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LB"/>
      <sheetName val="Ls_XLB_WorkbookFile"/>
      <sheetName val="Ls_AgXLB_WorkbookFile"/>
      <sheetName val="BH"/>
      <sheetName val="Ls_XlbFormatTables"/>
      <sheetName val="Ls_Alert"/>
      <sheetName val="BHU"/>
      <sheetName val="LB_U"/>
      <sheetName val="TB"/>
      <sheetName val="JL"/>
    </sheetNames>
    <sheetDataSet>
      <sheetData sheetId="0"/>
      <sheetData sheetId="1"/>
      <sheetData sheetId="2"/>
      <sheetData sheetId="3"/>
      <sheetData sheetId="4">
        <row r="1">
          <cell r="A1" t="str">
            <v>Account Code</v>
          </cell>
          <cell r="B1" t="str">
            <v>Base Amount</v>
          </cell>
          <cell r="C1" t="str">
            <v>Other Amount</v>
          </cell>
        </row>
        <row r="2">
          <cell r="A2" t="str">
            <v>13114200</v>
          </cell>
          <cell r="B2">
            <v>519.4</v>
          </cell>
          <cell r="C2">
            <v>8315611</v>
          </cell>
        </row>
      </sheetData>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LB"/>
      <sheetName val="Ls_XLB_WorkbookFile"/>
      <sheetName val="Ls_AgXLB_WorkbookFile"/>
      <sheetName val="BH"/>
      <sheetName val="Ls_XlbFormatTables"/>
      <sheetName val="Ls_Alert"/>
      <sheetName val="BHU"/>
      <sheetName val="LB_U"/>
      <sheetName val="TB"/>
      <sheetName val="JL"/>
      <sheetName val="No_Transaction"/>
    </sheetNames>
    <sheetDataSet>
      <sheetData sheetId="0"/>
      <sheetData sheetId="1"/>
      <sheetData sheetId="2"/>
      <sheetData sheetId="3"/>
      <sheetData sheetId="4"/>
      <sheetData sheetId="5"/>
      <sheetData sheetId="6"/>
      <sheetData sheetId="7">
        <row r="1">
          <cell r="A1" t="str">
            <v>Account code</v>
          </cell>
          <cell r="B1" t="str">
            <v>BH_Base amount</v>
          </cell>
          <cell r="C1" t="str">
            <v>BH_Other amount</v>
          </cell>
          <cell r="D1" t="str">
            <v>PA_Base amount</v>
          </cell>
          <cell r="E1" t="str">
            <v>PA_Other amount</v>
          </cell>
          <cell r="F1" t="str">
            <v>Account name</v>
          </cell>
        </row>
        <row r="2">
          <cell r="A2" t="str">
            <v>33613000</v>
          </cell>
          <cell r="B2">
            <v>-72845.66</v>
          </cell>
          <cell r="C2">
            <v>13019017988</v>
          </cell>
          <cell r="D2">
            <v>5899.71</v>
          </cell>
          <cell r="E2">
            <v>100000000</v>
          </cell>
          <cell r="F2" t="str">
            <v>DRI-CASH TRANSFER</v>
          </cell>
        </row>
        <row r="3">
          <cell r="A3" t="str">
            <v>24130100</v>
          </cell>
          <cell r="B3">
            <v>0</v>
          </cell>
          <cell r="C3">
            <v>0</v>
          </cell>
          <cell r="D3">
            <v>6692.29</v>
          </cell>
          <cell r="E3">
            <v>111226007</v>
          </cell>
          <cell r="F3" t="str">
            <v>FIXED ASSETS-REPAIR</v>
          </cell>
        </row>
        <row r="4">
          <cell r="A4" t="str">
            <v>24210000</v>
          </cell>
          <cell r="B4">
            <v>341597.71</v>
          </cell>
          <cell r="C4">
            <v>578491143</v>
          </cell>
          <cell r="D4">
            <v>988.37</v>
          </cell>
          <cell r="E4">
            <v>15911553</v>
          </cell>
          <cell r="F4" t="str">
            <v>TOOLS &amp; EQUIPMENT</v>
          </cell>
        </row>
        <row r="5">
          <cell r="A5" t="str">
            <v>24210300</v>
          </cell>
          <cell r="B5">
            <v>1244080.08</v>
          </cell>
          <cell r="C5">
            <v>1262281856</v>
          </cell>
          <cell r="D5">
            <v>-420.81</v>
          </cell>
          <cell r="E5">
            <v>0</v>
          </cell>
          <cell r="F5" t="str">
            <v>FURNITURE &amp; FIXTURE</v>
          </cell>
        </row>
        <row r="6">
          <cell r="A6" t="str">
            <v>24250000</v>
          </cell>
          <cell r="B6">
            <v>-313750.56</v>
          </cell>
          <cell r="C6">
            <v>0</v>
          </cell>
          <cell r="D6">
            <v>-1325.82</v>
          </cell>
          <cell r="E6">
            <v>0</v>
          </cell>
          <cell r="F6" t="str">
            <v>RESERVE FOR TOOL&amp;EQUIP</v>
          </cell>
        </row>
        <row r="7">
          <cell r="A7" t="str">
            <v>24250300</v>
          </cell>
          <cell r="B7">
            <v>-1195643.1499999999</v>
          </cell>
          <cell r="C7">
            <v>0</v>
          </cell>
          <cell r="D7">
            <v>1105.6099999999999</v>
          </cell>
          <cell r="E7">
            <v>55000000</v>
          </cell>
          <cell r="F7" t="str">
            <v>RESERVE FOR FF&amp;E</v>
          </cell>
        </row>
      </sheetData>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sheetName val="Feb"/>
      <sheetName val="Mar"/>
      <sheetName val="Apr"/>
      <sheetName val="AR Aging"/>
      <sheetName val="May"/>
      <sheetName val="Jun"/>
      <sheetName val="Jul"/>
      <sheetName val="Receivable of guest"/>
      <sheetName val="Sheet1"/>
      <sheetName val="Guest Oustanding details"/>
      <sheetName val="Guest deposit"/>
      <sheetName val="Mer12"/>
      <sheetName val="GL"/>
      <sheetName val="Detail 34420100 2012"/>
      <sheetName val="DATA"/>
      <sheetName val="Ana 131105A9"/>
      <sheetName val="V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C2" t="str">
            <v>Acteam International</v>
          </cell>
        </row>
        <row r="3">
          <cell r="C3" t="str">
            <v>ANNUAL DUE</v>
          </cell>
        </row>
        <row r="4">
          <cell r="C4" t="str">
            <v>Alo Travel</v>
          </cell>
        </row>
        <row r="5">
          <cell r="C5" t="str">
            <v>Amcham</v>
          </cell>
        </row>
        <row r="6">
          <cell r="C6" t="str">
            <v>Ana Mandara</v>
          </cell>
        </row>
        <row r="7">
          <cell r="C7" t="str">
            <v>Apex VN</v>
          </cell>
        </row>
        <row r="8">
          <cell r="C8" t="str">
            <v>Apro Travel</v>
          </cell>
        </row>
        <row r="9">
          <cell r="C9" t="str">
            <v>APT</v>
          </cell>
        </row>
        <row r="10">
          <cell r="C10" t="str">
            <v>Asia Pacific</v>
          </cell>
        </row>
        <row r="11">
          <cell r="C11" t="str">
            <v>Aurora travel</v>
          </cell>
        </row>
        <row r="12">
          <cell r="C12" t="str">
            <v>Baby Bear</v>
          </cell>
        </row>
        <row r="13">
          <cell r="C13" t="str">
            <v>Ban Mai</v>
          </cell>
        </row>
        <row r="14">
          <cell r="C14" t="str">
            <v>Benefit</v>
          </cell>
        </row>
        <row r="15">
          <cell r="C15" t="str">
            <v>BenThanh tourist</v>
          </cell>
        </row>
        <row r="16">
          <cell r="C16" t="str">
            <v>Binh An</v>
          </cell>
        </row>
        <row r="17">
          <cell r="C17" t="str">
            <v>Blue Ocean</v>
          </cell>
        </row>
        <row r="18">
          <cell r="C18" t="str">
            <v>Blue star</v>
          </cell>
        </row>
        <row r="19">
          <cell r="C19" t="str">
            <v>Boeim tech</v>
          </cell>
        </row>
        <row r="20">
          <cell r="C20" t="str">
            <v>CALD</v>
          </cell>
        </row>
        <row r="21">
          <cell r="C21" t="str">
            <v>Century travel</v>
          </cell>
        </row>
        <row r="22">
          <cell r="C22" t="str">
            <v>Congnghe</v>
          </cell>
        </row>
        <row r="23">
          <cell r="C23" t="str">
            <v>Contrexim</v>
          </cell>
        </row>
        <row r="24">
          <cell r="C24" t="str">
            <v>Daiphuc</v>
          </cell>
        </row>
        <row r="25">
          <cell r="C25" t="str">
            <v>Dalat Golf Travel</v>
          </cell>
        </row>
        <row r="26">
          <cell r="C26" t="str">
            <v>Dat Viet Media</v>
          </cell>
        </row>
        <row r="27">
          <cell r="C27" t="str">
            <v>DIC Travel</v>
          </cell>
        </row>
        <row r="28">
          <cell r="C28" t="str">
            <v>Diethelm</v>
          </cell>
        </row>
        <row r="29">
          <cell r="C29" t="str">
            <v>E&amp;C Co.,</v>
          </cell>
        </row>
        <row r="30">
          <cell r="C30" t="str">
            <v>Eden</v>
          </cell>
        </row>
        <row r="31">
          <cell r="C31" t="str">
            <v>Edenses tour</v>
          </cell>
        </row>
        <row r="32">
          <cell r="C32" t="str">
            <v>Eviva</v>
          </cell>
        </row>
        <row r="33">
          <cell r="C33" t="str">
            <v>Exotissimo</v>
          </cell>
        </row>
        <row r="34">
          <cell r="C34" t="str">
            <v>Festival</v>
          </cell>
        </row>
        <row r="35">
          <cell r="C35" t="str">
            <v>Fiditour</v>
          </cell>
        </row>
        <row r="36">
          <cell r="C36" t="str">
            <v>Golf Asian</v>
          </cell>
        </row>
        <row r="37">
          <cell r="C37" t="str">
            <v>Golf Tour Viet</v>
          </cell>
        </row>
        <row r="38">
          <cell r="C38" t="str">
            <v>Golf VN</v>
          </cell>
        </row>
        <row r="39">
          <cell r="C39" t="str">
            <v>Golf&amp;Life</v>
          </cell>
        </row>
        <row r="40">
          <cell r="C40" t="str">
            <v>Ha Quang</v>
          </cell>
        </row>
        <row r="41">
          <cell r="C41" t="str">
            <v>Hai Ve Nu</v>
          </cell>
        </row>
        <row r="42">
          <cell r="C42" t="str">
            <v>Han travel</v>
          </cell>
        </row>
        <row r="43">
          <cell r="C43" t="str">
            <v>Hancafe</v>
          </cell>
        </row>
        <row r="44">
          <cell r="C44" t="str">
            <v>HanKimViet</v>
          </cell>
        </row>
        <row r="45">
          <cell r="C45" t="str">
            <v>Hasfarm</v>
          </cell>
        </row>
        <row r="46">
          <cell r="C46" t="str">
            <v>HimLam</v>
          </cell>
        </row>
        <row r="47">
          <cell r="C47" t="str">
            <v>Hnoi Golf</v>
          </cell>
        </row>
        <row r="48">
          <cell r="C48" t="str">
            <v>HoangTra</v>
          </cell>
        </row>
        <row r="49">
          <cell r="C49" t="str">
            <v>Hoitinhoc</v>
          </cell>
        </row>
        <row r="50">
          <cell r="C50" t="str">
            <v>HuyndaiVinashin</v>
          </cell>
        </row>
        <row r="51">
          <cell r="C51" t="str">
            <v>Indochina</v>
          </cell>
        </row>
        <row r="52">
          <cell r="C52" t="str">
            <v>IT &amp; T</v>
          </cell>
        </row>
        <row r="53">
          <cell r="C53" t="str">
            <v>Korean tour</v>
          </cell>
        </row>
        <row r="54">
          <cell r="C54" t="str">
            <v>Le Kim Travel</v>
          </cell>
        </row>
        <row r="55">
          <cell r="C55" t="str">
            <v>Luxury travel</v>
          </cell>
        </row>
        <row r="56">
          <cell r="C56" t="str">
            <v>Membership</v>
          </cell>
        </row>
        <row r="57">
          <cell r="C57" t="str">
            <v>Mercedes tour</v>
          </cell>
        </row>
        <row r="58">
          <cell r="C58" t="str">
            <v>NetHanViet</v>
          </cell>
        </row>
        <row r="59">
          <cell r="C59" t="str">
            <v>NST</v>
          </cell>
        </row>
        <row r="60">
          <cell r="C60" t="str">
            <v>NTD travel</v>
          </cell>
        </row>
        <row r="61">
          <cell r="C61" t="str">
            <v>OAAG</v>
          </cell>
        </row>
        <row r="62">
          <cell r="C62" t="str">
            <v>ICC</v>
          </cell>
        </row>
        <row r="63">
          <cell r="C63" t="str">
            <v>ODGC</v>
          </cell>
        </row>
        <row r="64">
          <cell r="C64" t="str">
            <v>One Travel</v>
          </cell>
        </row>
        <row r="65">
          <cell r="C65" t="str">
            <v>Orion Vina</v>
          </cell>
        </row>
        <row r="66">
          <cell r="C66" t="str">
            <v>Owner</v>
          </cell>
        </row>
        <row r="67">
          <cell r="C67" t="str">
            <v>Per</v>
          </cell>
        </row>
        <row r="68">
          <cell r="C68" t="str">
            <v>PhuBao</v>
          </cell>
        </row>
        <row r="69">
          <cell r="C69" t="str">
            <v>PhuDong</v>
          </cell>
        </row>
        <row r="70">
          <cell r="C70" t="str">
            <v>Red sun</v>
          </cell>
        </row>
        <row r="71">
          <cell r="C71" t="str">
            <v>Remember tour</v>
          </cell>
        </row>
        <row r="72">
          <cell r="C72" t="str">
            <v>Room charge</v>
          </cell>
        </row>
        <row r="73">
          <cell r="C73" t="str">
            <v>Saigon tour</v>
          </cell>
        </row>
        <row r="74">
          <cell r="C74" t="str">
            <v>SaigonHanoi</v>
          </cell>
        </row>
        <row r="75">
          <cell r="C75" t="str">
            <v>Salute</v>
          </cell>
        </row>
        <row r="76">
          <cell r="C76" t="str">
            <v>Salute VN</v>
          </cell>
        </row>
        <row r="77">
          <cell r="C77" t="str">
            <v>Sammy Hotel</v>
          </cell>
        </row>
        <row r="78">
          <cell r="C78" t="str">
            <v>Sao Bac</v>
          </cell>
        </row>
        <row r="79">
          <cell r="C79" t="str">
            <v>Sao Mai Co.,</v>
          </cell>
        </row>
        <row r="80">
          <cell r="C80" t="str">
            <v>Sgtourist</v>
          </cell>
        </row>
        <row r="81">
          <cell r="C81" t="str">
            <v>Signature</v>
          </cell>
        </row>
        <row r="82">
          <cell r="C82" t="str">
            <v>SMI TRAVEL</v>
          </cell>
        </row>
        <row r="83">
          <cell r="C83" t="str">
            <v>So Ngoai Vu</v>
          </cell>
        </row>
        <row r="84">
          <cell r="C84" t="str">
            <v>Spring</v>
          </cell>
        </row>
        <row r="85">
          <cell r="C85" t="str">
            <v>Sunyland</v>
          </cell>
        </row>
        <row r="86">
          <cell r="C86" t="str">
            <v>TaekwangVina</v>
          </cell>
        </row>
        <row r="87">
          <cell r="C87" t="str">
            <v>TCDL Dalat</v>
          </cell>
        </row>
        <row r="88">
          <cell r="C88" t="str">
            <v>Tet event</v>
          </cell>
        </row>
        <row r="89">
          <cell r="C89" t="str">
            <v>Thank you</v>
          </cell>
        </row>
        <row r="90">
          <cell r="C90" t="str">
            <v>TNXP</v>
          </cell>
        </row>
        <row r="91">
          <cell r="C91" t="str">
            <v>TodayComunication</v>
          </cell>
        </row>
        <row r="92">
          <cell r="C92" t="str">
            <v>Total</v>
          </cell>
        </row>
        <row r="93">
          <cell r="C93" t="str">
            <v>Transviettravel</v>
          </cell>
        </row>
        <row r="94">
          <cell r="C94" t="str">
            <v>Triru VS Siva</v>
          </cell>
        </row>
        <row r="95">
          <cell r="C95" t="str">
            <v>UBND LamDong</v>
          </cell>
        </row>
        <row r="96">
          <cell r="C96" t="str">
            <v>VC</v>
          </cell>
        </row>
        <row r="97">
          <cell r="C97" t="str">
            <v>Vietcapital</v>
          </cell>
        </row>
        <row r="98">
          <cell r="C98" t="str">
            <v>Vietsopetrol</v>
          </cell>
        </row>
        <row r="99">
          <cell r="C99" t="str">
            <v>Vietravel</v>
          </cell>
        </row>
        <row r="100">
          <cell r="C100" t="str">
            <v>Vina Cat Tuong</v>
          </cell>
        </row>
        <row r="101">
          <cell r="C101" t="str">
            <v>VNAirline</v>
          </cell>
        </row>
        <row r="102">
          <cell r="C102" t="str">
            <v>VNGolf Club</v>
          </cell>
        </row>
        <row r="103">
          <cell r="C103" t="str">
            <v>VSP</v>
          </cell>
        </row>
      </sheetData>
      <sheetData sheetId="16"/>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P"/>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 tien (3)"/>
      <sheetName val="Data"/>
      <sheetName val="UNC"/>
    </sheetNames>
    <sheetDataSet>
      <sheetData sheetId="0" refreshError="1"/>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P"/>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mission Form"/>
      <sheetName val="Feuil2"/>
      <sheetName val="XL4Test5"/>
      <sheetName val="DATABASE"/>
      <sheetName val="LINK PIVOT"/>
      <sheetName val="GENERAL PIVOT"/>
      <sheetName val="FEB"/>
      <sheetName val="MAR"/>
      <sheetName val="APR"/>
      <sheetName val="MAY"/>
      <sheetName val="JUN"/>
      <sheetName val="JUNL"/>
      <sheetName val="AUGUST"/>
      <sheetName val="SEP"/>
      <sheetName val="OCT"/>
      <sheetName val="NOV"/>
      <sheetName val="DEC"/>
      <sheetName val="pivot"/>
      <sheetName val="theo bo phan"/>
      <sheetName val="chart"/>
      <sheetName val="00000000"/>
    </sheetNames>
    <sheetDataSet>
      <sheetData sheetId="0">
        <row r="7">
          <cell r="D7" t="str">
            <v>3610</v>
          </cell>
        </row>
        <row r="10">
          <cell r="D10" t="str">
            <v>Philip Loh</v>
          </cell>
        </row>
        <row r="11">
          <cell r="D11" t="str">
            <v>6340 5720</v>
          </cell>
        </row>
        <row r="17">
          <cell r="D17">
            <v>0</v>
          </cell>
        </row>
        <row r="19">
          <cell r="D19" t="str">
            <v>Danfoss</v>
          </cell>
        </row>
        <row r="21">
          <cell r="D21" t="str">
            <v>Jalan Pesawat</v>
          </cell>
        </row>
        <row r="23">
          <cell r="D23">
            <v>22</v>
          </cell>
        </row>
        <row r="25">
          <cell r="D25" t="str">
            <v>N</v>
          </cell>
        </row>
        <row r="33">
          <cell r="D33" t="str">
            <v>We provide complimentary Shuttle to Airport  (2-way) at stipulated timing</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PDA mauktoan"/>
      <sheetName val="BẢNG 1. KDA-KHNVMT 2026"/>
      <sheetName val="Sheet1"/>
      <sheetName val="BẢNG 2. KDA-KHTC 2026 "/>
      <sheetName val="TRÌNH DỰ TOÁN"/>
      <sheetName val="1. THKP TMDT"/>
      <sheetName val="2.TH KP HTKT"/>
      <sheetName val="3. THKP NL"/>
      <sheetName val="3. THKP NL htkt"/>
      <sheetName val="3. THkp ND3"/>
      <sheetName val="3.THKP SAN NEN 15.59HA"/>
      <sheetName val="CP san nền kv1"/>
      <sheetName val="4,THKP htkt 13,56"/>
      <sheetName val="THKP bảng quảng cáo"/>
    </sheetNames>
    <sheetDataSet>
      <sheetData sheetId="0" refreshError="1"/>
      <sheetData sheetId="1" refreshError="1"/>
      <sheetData sheetId="2" refreshError="1"/>
      <sheetData sheetId="3" refreshError="1">
        <row r="22">
          <cell r="H22">
            <v>1436432644.1400001</v>
          </cell>
        </row>
        <row r="27">
          <cell r="H27">
            <v>10680673593</v>
          </cell>
          <cell r="I27">
            <v>5340336796.5</v>
          </cell>
        </row>
        <row r="28">
          <cell r="H28">
            <v>492000000</v>
          </cell>
          <cell r="I28">
            <v>492000000</v>
          </cell>
        </row>
        <row r="29">
          <cell r="H29">
            <v>732449147.30000007</v>
          </cell>
          <cell r="I29">
            <v>732449147.30000007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A2732-9F49-4B8E-BC1A-6D8E9A86DF95}">
  <dimension ref="A1:H69"/>
  <sheetViews>
    <sheetView zoomScale="86" zoomScaleNormal="86" workbookViewId="0">
      <selection sqref="A1:XFD1048576"/>
    </sheetView>
  </sheetViews>
  <sheetFormatPr defaultColWidth="8.7109375" defaultRowHeight="15" x14ac:dyDescent="0.25"/>
  <cols>
    <col min="1" max="1" width="8.7109375" style="5"/>
    <col min="2" max="2" width="12.42578125" style="23" customWidth="1"/>
    <col min="3" max="3" width="30" style="23" customWidth="1"/>
    <col min="4" max="4" width="13.140625" style="5" bestFit="1" customWidth="1"/>
    <col min="5" max="5" width="13.7109375" style="5" bestFit="1" customWidth="1"/>
    <col min="6" max="7" width="17.85546875" style="5" customWidth="1"/>
    <col min="8" max="8" width="30.7109375" style="5" bestFit="1" customWidth="1"/>
    <col min="9" max="16384" width="8.7109375" style="5"/>
  </cols>
  <sheetData>
    <row r="1" spans="1:8" ht="15.75" x14ac:dyDescent="0.25">
      <c r="A1" s="1"/>
      <c r="B1" s="2"/>
      <c r="C1" s="3"/>
      <c r="D1" s="4"/>
      <c r="E1" s="4"/>
      <c r="F1" s="4"/>
      <c r="G1" s="4"/>
      <c r="H1" s="2"/>
    </row>
    <row r="2" spans="1:8" ht="45.95" customHeight="1" x14ac:dyDescent="0.25">
      <c r="A2" s="92" t="s">
        <v>50</v>
      </c>
      <c r="B2" s="93"/>
      <c r="C2" s="93"/>
      <c r="D2" s="93"/>
      <c r="E2" s="93"/>
      <c r="F2" s="93"/>
      <c r="G2" s="93"/>
      <c r="H2" s="93"/>
    </row>
    <row r="3" spans="1:8" ht="25.5" x14ac:dyDescent="0.25">
      <c r="A3" s="6"/>
      <c r="B3" s="7"/>
      <c r="C3" s="7"/>
      <c r="D3" s="41" t="s">
        <v>51</v>
      </c>
      <c r="E3" s="7"/>
      <c r="F3" s="7"/>
      <c r="G3" s="7"/>
      <c r="H3" s="7"/>
    </row>
    <row r="4" spans="1:8" ht="15.75" x14ac:dyDescent="0.25">
      <c r="A4" s="1"/>
      <c r="B4" s="2"/>
      <c r="C4" s="3"/>
      <c r="D4" s="8"/>
      <c r="E4" s="8"/>
      <c r="F4" s="8"/>
      <c r="G4" s="8"/>
      <c r="H4" s="9"/>
    </row>
    <row r="5" spans="1:8" ht="21" customHeight="1" x14ac:dyDescent="0.25">
      <c r="A5" s="71" t="s">
        <v>0</v>
      </c>
      <c r="B5" s="72" t="s">
        <v>1</v>
      </c>
      <c r="C5" s="72"/>
      <c r="D5" s="73" t="s">
        <v>2</v>
      </c>
      <c r="E5" s="73"/>
      <c r="F5" s="73" t="s">
        <v>3</v>
      </c>
      <c r="G5" s="74" t="s">
        <v>52</v>
      </c>
      <c r="H5" s="72" t="s">
        <v>4</v>
      </c>
    </row>
    <row r="6" spans="1:8" ht="37.5" customHeight="1" x14ac:dyDescent="0.25">
      <c r="A6" s="71"/>
      <c r="B6" s="72"/>
      <c r="C6" s="72"/>
      <c r="D6" s="10" t="s">
        <v>5</v>
      </c>
      <c r="E6" s="10" t="s">
        <v>6</v>
      </c>
      <c r="F6" s="73"/>
      <c r="G6" s="75"/>
      <c r="H6" s="72"/>
    </row>
    <row r="7" spans="1:8" ht="40.5" customHeight="1" x14ac:dyDescent="0.25">
      <c r="A7" s="11">
        <v>1</v>
      </c>
      <c r="B7" s="90" t="s">
        <v>7</v>
      </c>
      <c r="C7" s="90"/>
      <c r="D7" s="68" t="s">
        <v>8</v>
      </c>
      <c r="E7" s="68"/>
      <c r="F7" s="13"/>
      <c r="G7" s="13"/>
      <c r="H7" s="14" t="s">
        <v>53</v>
      </c>
    </row>
    <row r="8" spans="1:8" ht="47.25" x14ac:dyDescent="0.25">
      <c r="A8" s="11">
        <v>2</v>
      </c>
      <c r="B8" s="67" t="s">
        <v>9</v>
      </c>
      <c r="C8" s="67"/>
      <c r="D8" s="12" t="s">
        <v>10</v>
      </c>
      <c r="E8" s="12" t="s">
        <v>11</v>
      </c>
      <c r="F8" s="24">
        <v>1</v>
      </c>
      <c r="G8" s="13"/>
      <c r="H8" s="13"/>
    </row>
    <row r="9" spans="1:8" ht="87" customHeight="1" x14ac:dyDescent="0.25">
      <c r="A9" s="11">
        <v>3</v>
      </c>
      <c r="B9" s="67" t="s">
        <v>12</v>
      </c>
      <c r="C9" s="67"/>
      <c r="D9" s="12" t="s">
        <v>10</v>
      </c>
      <c r="E9" s="12" t="s">
        <v>11</v>
      </c>
      <c r="F9" s="24">
        <v>1</v>
      </c>
      <c r="G9" s="15" t="s">
        <v>56</v>
      </c>
      <c r="H9" s="13"/>
    </row>
    <row r="10" spans="1:8" ht="38.1" customHeight="1" x14ac:dyDescent="0.25">
      <c r="A10" s="11">
        <v>4</v>
      </c>
      <c r="B10" s="67" t="s">
        <v>54</v>
      </c>
      <c r="C10" s="67"/>
      <c r="D10" s="12" t="s">
        <v>13</v>
      </c>
      <c r="E10" s="12" t="s">
        <v>10</v>
      </c>
      <c r="F10" s="24">
        <v>1</v>
      </c>
      <c r="G10" s="15" t="s">
        <v>56</v>
      </c>
      <c r="H10" s="91"/>
    </row>
    <row r="11" spans="1:8" ht="38.1" customHeight="1" x14ac:dyDescent="0.25">
      <c r="A11" s="11">
        <v>5</v>
      </c>
      <c r="B11" s="62" t="s">
        <v>55</v>
      </c>
      <c r="C11" s="63"/>
      <c r="D11" s="12" t="s">
        <v>10</v>
      </c>
      <c r="E11" s="12" t="s">
        <v>13</v>
      </c>
      <c r="F11" s="24">
        <v>1</v>
      </c>
      <c r="G11" s="15" t="s">
        <v>56</v>
      </c>
      <c r="H11" s="91"/>
    </row>
    <row r="12" spans="1:8" ht="37.5" customHeight="1" x14ac:dyDescent="0.25">
      <c r="A12" s="11">
        <v>6</v>
      </c>
      <c r="B12" s="67" t="s">
        <v>14</v>
      </c>
      <c r="C12" s="67"/>
      <c r="D12" s="12" t="s">
        <v>10</v>
      </c>
      <c r="E12" s="12" t="s">
        <v>15</v>
      </c>
      <c r="F12" s="24">
        <v>1</v>
      </c>
      <c r="G12" s="15" t="s">
        <v>57</v>
      </c>
      <c r="H12" s="91"/>
    </row>
    <row r="13" spans="1:8" ht="141.94999999999999" customHeight="1" x14ac:dyDescent="0.25">
      <c r="A13" s="86">
        <v>7</v>
      </c>
      <c r="B13" s="77" t="s">
        <v>16</v>
      </c>
      <c r="C13" s="16" t="s">
        <v>17</v>
      </c>
      <c r="D13" s="68" t="s">
        <v>10</v>
      </c>
      <c r="E13" s="68" t="s">
        <v>11</v>
      </c>
      <c r="F13" s="24">
        <v>1</v>
      </c>
      <c r="G13" s="15" t="s">
        <v>56</v>
      </c>
      <c r="H13" s="13"/>
    </row>
    <row r="14" spans="1:8" ht="106.5" customHeight="1" x14ac:dyDescent="0.25">
      <c r="A14" s="86"/>
      <c r="B14" s="77"/>
      <c r="C14" s="16" t="s">
        <v>18</v>
      </c>
      <c r="D14" s="68"/>
      <c r="E14" s="68"/>
      <c r="F14" s="24">
        <v>1</v>
      </c>
      <c r="G14" s="15" t="s">
        <v>58</v>
      </c>
      <c r="H14" s="13"/>
    </row>
    <row r="15" spans="1:8" ht="54.95" customHeight="1" x14ac:dyDescent="0.25">
      <c r="A15" s="11">
        <v>8</v>
      </c>
      <c r="B15" s="87" t="s">
        <v>19</v>
      </c>
      <c r="C15" s="87"/>
      <c r="D15" s="12" t="s">
        <v>10</v>
      </c>
      <c r="E15" s="12" t="s">
        <v>20</v>
      </c>
      <c r="F15" s="24">
        <v>1</v>
      </c>
      <c r="G15" s="15" t="s">
        <v>57</v>
      </c>
      <c r="H15" s="16"/>
    </row>
    <row r="16" spans="1:8" ht="54.95" customHeight="1" x14ac:dyDescent="0.25">
      <c r="A16" s="11">
        <v>9</v>
      </c>
      <c r="B16" s="88" t="s">
        <v>62</v>
      </c>
      <c r="C16" s="89"/>
      <c r="D16" s="17" t="s">
        <v>21</v>
      </c>
      <c r="E16" s="12" t="s">
        <v>10</v>
      </c>
      <c r="F16" s="24">
        <v>1</v>
      </c>
      <c r="G16" s="15" t="s">
        <v>59</v>
      </c>
      <c r="H16" s="16"/>
    </row>
    <row r="17" spans="1:8" ht="35.450000000000003" customHeight="1" x14ac:dyDescent="0.25">
      <c r="A17" s="11">
        <v>10</v>
      </c>
      <c r="B17" s="83" t="s">
        <v>63</v>
      </c>
      <c r="C17" s="83"/>
      <c r="D17" s="12" t="s">
        <v>10</v>
      </c>
      <c r="E17" s="17" t="s">
        <v>21</v>
      </c>
      <c r="F17" s="24">
        <v>1</v>
      </c>
      <c r="G17" s="15" t="s">
        <v>57</v>
      </c>
      <c r="H17" s="16"/>
    </row>
    <row r="18" spans="1:8" ht="35.450000000000003" customHeight="1" x14ac:dyDescent="0.25">
      <c r="A18" s="11">
        <v>11</v>
      </c>
      <c r="B18" s="83" t="s">
        <v>64</v>
      </c>
      <c r="C18" s="83"/>
      <c r="D18" s="17" t="s">
        <v>21</v>
      </c>
      <c r="E18" s="12" t="s">
        <v>10</v>
      </c>
      <c r="F18" s="24">
        <v>1</v>
      </c>
      <c r="G18" s="15" t="s">
        <v>60</v>
      </c>
      <c r="H18" s="16"/>
    </row>
    <row r="19" spans="1:8" ht="35.450000000000003" customHeight="1" x14ac:dyDescent="0.25">
      <c r="A19" s="11">
        <v>12</v>
      </c>
      <c r="B19" s="83" t="s">
        <v>65</v>
      </c>
      <c r="C19" s="83"/>
      <c r="D19" s="12" t="s">
        <v>10</v>
      </c>
      <c r="E19" s="12" t="s">
        <v>21</v>
      </c>
      <c r="F19" s="24">
        <v>1</v>
      </c>
      <c r="G19" s="15" t="s">
        <v>61</v>
      </c>
      <c r="H19" s="16"/>
    </row>
    <row r="20" spans="1:8" s="8" customFormat="1" ht="35.450000000000003" customHeight="1" x14ac:dyDescent="0.25">
      <c r="A20" s="11">
        <v>13</v>
      </c>
      <c r="B20" s="84" t="s">
        <v>66</v>
      </c>
      <c r="C20" s="85"/>
      <c r="D20" s="26" t="s">
        <v>67</v>
      </c>
      <c r="E20" s="27" t="s">
        <v>68</v>
      </c>
      <c r="F20" s="28">
        <v>1</v>
      </c>
      <c r="G20" s="25" t="s">
        <v>69</v>
      </c>
      <c r="H20" s="16"/>
    </row>
    <row r="21" spans="1:8" ht="35.450000000000003" customHeight="1" x14ac:dyDescent="0.25">
      <c r="A21" s="11">
        <v>14</v>
      </c>
      <c r="B21" s="83" t="s">
        <v>22</v>
      </c>
      <c r="C21" s="83"/>
      <c r="D21" s="12" t="s">
        <v>10</v>
      </c>
      <c r="E21" s="17" t="s">
        <v>21</v>
      </c>
      <c r="F21" s="28">
        <v>1</v>
      </c>
      <c r="G21" s="15" t="s">
        <v>57</v>
      </c>
      <c r="H21" s="16"/>
    </row>
    <row r="22" spans="1:8" ht="35.450000000000003" customHeight="1" x14ac:dyDescent="0.25">
      <c r="A22" s="11">
        <v>15</v>
      </c>
      <c r="B22" s="83" t="s">
        <v>23</v>
      </c>
      <c r="C22" s="83"/>
      <c r="D22" s="12" t="s">
        <v>10</v>
      </c>
      <c r="E22" s="17" t="s">
        <v>21</v>
      </c>
      <c r="F22" s="28">
        <v>1</v>
      </c>
      <c r="G22" s="15" t="s">
        <v>57</v>
      </c>
      <c r="H22" s="16"/>
    </row>
    <row r="23" spans="1:8" ht="35.450000000000003" customHeight="1" x14ac:dyDescent="0.25">
      <c r="A23" s="11">
        <v>16</v>
      </c>
      <c r="B23" s="83" t="s">
        <v>24</v>
      </c>
      <c r="C23" s="83"/>
      <c r="D23" s="12" t="s">
        <v>10</v>
      </c>
      <c r="E23" s="17" t="s">
        <v>21</v>
      </c>
      <c r="F23" s="28">
        <v>1</v>
      </c>
      <c r="G23" s="15" t="s">
        <v>61</v>
      </c>
      <c r="H23" s="16"/>
    </row>
    <row r="24" spans="1:8" ht="35.450000000000003" customHeight="1" x14ac:dyDescent="0.25">
      <c r="A24" s="11">
        <v>17</v>
      </c>
      <c r="B24" s="83" t="s">
        <v>25</v>
      </c>
      <c r="C24" s="83"/>
      <c r="D24" s="12" t="s">
        <v>21</v>
      </c>
      <c r="E24" s="12" t="s">
        <v>10</v>
      </c>
      <c r="F24" s="28">
        <v>1</v>
      </c>
      <c r="G24" s="15" t="s">
        <v>57</v>
      </c>
      <c r="H24" s="16"/>
    </row>
    <row r="25" spans="1:8" ht="36.950000000000003" customHeight="1" x14ac:dyDescent="0.25">
      <c r="A25" s="11">
        <v>18</v>
      </c>
      <c r="B25" s="83" t="s">
        <v>71</v>
      </c>
      <c r="C25" s="83"/>
      <c r="D25" s="12" t="s">
        <v>21</v>
      </c>
      <c r="E25" s="12" t="s">
        <v>10</v>
      </c>
      <c r="F25" s="28">
        <v>1</v>
      </c>
      <c r="G25" s="15" t="s">
        <v>57</v>
      </c>
      <c r="H25" s="16"/>
    </row>
    <row r="26" spans="1:8" ht="39" customHeight="1" x14ac:dyDescent="0.25">
      <c r="A26" s="11">
        <v>19</v>
      </c>
      <c r="B26" s="67" t="s">
        <v>26</v>
      </c>
      <c r="C26" s="67"/>
      <c r="D26" s="12" t="s">
        <v>10</v>
      </c>
      <c r="E26" s="12" t="s">
        <v>20</v>
      </c>
      <c r="F26" s="28">
        <v>1</v>
      </c>
      <c r="G26" s="15" t="s">
        <v>70</v>
      </c>
      <c r="H26" s="16"/>
    </row>
    <row r="27" spans="1:8" ht="39" customHeight="1" x14ac:dyDescent="0.25">
      <c r="A27" s="11">
        <v>20</v>
      </c>
      <c r="B27" s="67" t="s">
        <v>27</v>
      </c>
      <c r="C27" s="67"/>
      <c r="D27" s="12" t="s">
        <v>10</v>
      </c>
      <c r="E27" s="12" t="s">
        <v>20</v>
      </c>
      <c r="F27" s="28">
        <v>1</v>
      </c>
      <c r="G27" s="15" t="s">
        <v>57</v>
      </c>
      <c r="H27" s="16"/>
    </row>
    <row r="28" spans="1:8" ht="39" customHeight="1" x14ac:dyDescent="0.25">
      <c r="A28" s="11">
        <v>21</v>
      </c>
      <c r="B28" s="67" t="s">
        <v>72</v>
      </c>
      <c r="C28" s="67"/>
      <c r="D28" s="12" t="s">
        <v>21</v>
      </c>
      <c r="E28" s="12" t="s">
        <v>10</v>
      </c>
      <c r="F28" s="28">
        <v>1</v>
      </c>
      <c r="G28" s="15" t="s">
        <v>60</v>
      </c>
      <c r="H28" s="16"/>
    </row>
    <row r="29" spans="1:8" ht="39" customHeight="1" x14ac:dyDescent="0.25">
      <c r="A29" s="11">
        <v>22</v>
      </c>
      <c r="B29" s="67" t="s">
        <v>73</v>
      </c>
      <c r="C29" s="67"/>
      <c r="D29" s="12" t="s">
        <v>10</v>
      </c>
      <c r="E29" s="12" t="s">
        <v>20</v>
      </c>
      <c r="F29" s="28">
        <v>1</v>
      </c>
      <c r="G29" s="15" t="s">
        <v>58</v>
      </c>
      <c r="H29" s="16"/>
    </row>
    <row r="30" spans="1:8" ht="39" customHeight="1" x14ac:dyDescent="0.25">
      <c r="A30" s="11">
        <v>23</v>
      </c>
      <c r="B30" s="67" t="s">
        <v>74</v>
      </c>
      <c r="C30" s="67"/>
      <c r="D30" s="12" t="s">
        <v>21</v>
      </c>
      <c r="E30" s="12" t="s">
        <v>10</v>
      </c>
      <c r="F30" s="28"/>
      <c r="G30" s="15"/>
      <c r="H30" s="16" t="s">
        <v>75</v>
      </c>
    </row>
    <row r="31" spans="1:8" ht="39" customHeight="1" x14ac:dyDescent="0.25">
      <c r="A31" s="11">
        <v>24</v>
      </c>
      <c r="B31" s="67" t="s">
        <v>76</v>
      </c>
      <c r="C31" s="67"/>
      <c r="D31" s="12" t="s">
        <v>10</v>
      </c>
      <c r="E31" s="12" t="s">
        <v>20</v>
      </c>
      <c r="F31" s="15"/>
      <c r="G31" s="15" t="s">
        <v>61</v>
      </c>
      <c r="H31" s="29" t="s">
        <v>77</v>
      </c>
    </row>
    <row r="32" spans="1:8" ht="39" customHeight="1" x14ac:dyDescent="0.25">
      <c r="A32" s="11">
        <v>25</v>
      </c>
      <c r="B32" s="67" t="s">
        <v>28</v>
      </c>
      <c r="C32" s="67"/>
      <c r="D32" s="12" t="s">
        <v>10</v>
      </c>
      <c r="E32" s="12" t="s">
        <v>29</v>
      </c>
      <c r="F32" s="28">
        <v>1</v>
      </c>
      <c r="G32" s="15" t="s">
        <v>58</v>
      </c>
      <c r="H32" s="16"/>
    </row>
    <row r="33" spans="1:8" ht="196.5" customHeight="1" x14ac:dyDescent="0.25">
      <c r="A33" s="11">
        <v>26</v>
      </c>
      <c r="B33" s="67" t="s">
        <v>30</v>
      </c>
      <c r="C33" s="67"/>
      <c r="D33" s="12" t="s">
        <v>10</v>
      </c>
      <c r="E33" s="12" t="s">
        <v>31</v>
      </c>
      <c r="F33" s="28">
        <v>1</v>
      </c>
      <c r="G33" s="15" t="s">
        <v>58</v>
      </c>
      <c r="H33" s="16"/>
    </row>
    <row r="34" spans="1:8" customFormat="1" ht="28.5" customHeight="1" x14ac:dyDescent="0.25">
      <c r="A34" s="30">
        <v>27</v>
      </c>
      <c r="B34" s="81" t="s">
        <v>86</v>
      </c>
      <c r="C34" s="82"/>
      <c r="D34" s="31" t="s">
        <v>67</v>
      </c>
      <c r="E34" s="31" t="s">
        <v>87</v>
      </c>
      <c r="F34" s="32"/>
      <c r="G34" s="32" t="s">
        <v>88</v>
      </c>
      <c r="H34" s="40"/>
    </row>
    <row r="35" spans="1:8" customFormat="1" ht="30" x14ac:dyDescent="0.25">
      <c r="A35" s="34">
        <v>27.1</v>
      </c>
      <c r="B35" s="80" t="s">
        <v>89</v>
      </c>
      <c r="C35" s="80"/>
      <c r="D35" s="35" t="s">
        <v>67</v>
      </c>
      <c r="E35" s="35" t="s">
        <v>90</v>
      </c>
      <c r="F35" s="36">
        <v>1</v>
      </c>
      <c r="G35" s="37" t="s">
        <v>91</v>
      </c>
      <c r="H35" s="35" t="s">
        <v>92</v>
      </c>
    </row>
    <row r="36" spans="1:8" customFormat="1" ht="50.25" customHeight="1" x14ac:dyDescent="0.25">
      <c r="A36" s="34">
        <v>27.2</v>
      </c>
      <c r="B36" s="78" t="s">
        <v>93</v>
      </c>
      <c r="C36" s="78"/>
      <c r="D36" s="35" t="s">
        <v>67</v>
      </c>
      <c r="E36" s="35" t="s">
        <v>90</v>
      </c>
      <c r="F36" s="36">
        <v>1</v>
      </c>
      <c r="G36" s="32" t="s">
        <v>94</v>
      </c>
      <c r="H36" s="38" t="s">
        <v>95</v>
      </c>
    </row>
    <row r="37" spans="1:8" customFormat="1" ht="30" x14ac:dyDescent="0.25">
      <c r="A37" s="34">
        <v>27.3</v>
      </c>
      <c r="B37" s="80" t="s">
        <v>96</v>
      </c>
      <c r="C37" s="80"/>
      <c r="D37" s="35" t="s">
        <v>67</v>
      </c>
      <c r="E37" s="35" t="s">
        <v>90</v>
      </c>
      <c r="F37" s="36"/>
      <c r="G37" s="32" t="s">
        <v>88</v>
      </c>
      <c r="H37" s="38" t="s">
        <v>97</v>
      </c>
    </row>
    <row r="38" spans="1:8" customFormat="1" ht="30" x14ac:dyDescent="0.25">
      <c r="A38" s="34">
        <v>27.4</v>
      </c>
      <c r="B38" s="80" t="s">
        <v>98</v>
      </c>
      <c r="C38" s="80"/>
      <c r="D38" s="35" t="s">
        <v>67</v>
      </c>
      <c r="E38" s="35" t="s">
        <v>90</v>
      </c>
      <c r="F38" s="36">
        <v>1</v>
      </c>
      <c r="G38" s="32" t="s">
        <v>99</v>
      </c>
      <c r="H38" s="38" t="s">
        <v>100</v>
      </c>
    </row>
    <row r="39" spans="1:8" ht="40.5" customHeight="1" x14ac:dyDescent="0.25">
      <c r="A39" s="34">
        <v>27.5</v>
      </c>
      <c r="B39" s="80" t="s">
        <v>101</v>
      </c>
      <c r="C39" s="80"/>
      <c r="D39" s="35" t="s">
        <v>67</v>
      </c>
      <c r="E39" s="35" t="s">
        <v>90</v>
      </c>
      <c r="F39" s="36">
        <v>0.81</v>
      </c>
      <c r="G39" s="32" t="s">
        <v>102</v>
      </c>
      <c r="H39" s="16"/>
    </row>
    <row r="40" spans="1:8" ht="40.5" customHeight="1" x14ac:dyDescent="0.25">
      <c r="A40" s="34">
        <v>27.6</v>
      </c>
      <c r="B40" s="80" t="s">
        <v>103</v>
      </c>
      <c r="C40" s="80"/>
      <c r="D40" s="35" t="s">
        <v>67</v>
      </c>
      <c r="E40" s="35" t="s">
        <v>90</v>
      </c>
      <c r="F40" s="36">
        <v>1</v>
      </c>
      <c r="G40" s="32" t="s">
        <v>104</v>
      </c>
      <c r="H40" s="16"/>
    </row>
    <row r="41" spans="1:8" ht="40.5" customHeight="1" x14ac:dyDescent="0.25">
      <c r="A41" s="34">
        <v>27.7</v>
      </c>
      <c r="B41" s="78" t="s">
        <v>105</v>
      </c>
      <c r="C41" s="78"/>
      <c r="D41" s="35" t="s">
        <v>67</v>
      </c>
      <c r="E41" s="35" t="s">
        <v>90</v>
      </c>
      <c r="F41" s="36">
        <v>1</v>
      </c>
      <c r="G41" s="32" t="s">
        <v>106</v>
      </c>
      <c r="H41" s="16"/>
    </row>
    <row r="42" spans="1:8" customFormat="1" ht="40.5" customHeight="1" x14ac:dyDescent="0.25">
      <c r="A42" s="30">
        <v>28</v>
      </c>
      <c r="B42" s="79" t="s">
        <v>111</v>
      </c>
      <c r="C42" s="79"/>
      <c r="D42" s="31" t="s">
        <v>67</v>
      </c>
      <c r="E42" s="31" t="s">
        <v>110</v>
      </c>
      <c r="F42" s="36"/>
      <c r="G42" s="32" t="s">
        <v>88</v>
      </c>
      <c r="H42" s="33"/>
    </row>
    <row r="43" spans="1:8" customFormat="1" ht="40.5" customHeight="1" x14ac:dyDescent="0.25">
      <c r="A43" s="34">
        <v>28.1</v>
      </c>
      <c r="B43" s="80" t="s">
        <v>109</v>
      </c>
      <c r="C43" s="80"/>
      <c r="D43" s="35" t="s">
        <v>67</v>
      </c>
      <c r="E43" s="35" t="s">
        <v>108</v>
      </c>
      <c r="F43" s="36">
        <f>'[10]BẢNG 2. KDA-KHTC 2026 '!I27/'[10]BẢNG 2. KDA-KHTC 2026 '!H27</f>
        <v>0.5</v>
      </c>
      <c r="G43" s="32" t="s">
        <v>88</v>
      </c>
      <c r="H43" s="38" t="s">
        <v>97</v>
      </c>
    </row>
    <row r="44" spans="1:8" customFormat="1" ht="40.5" customHeight="1" x14ac:dyDescent="0.25">
      <c r="A44" s="34">
        <v>28.2</v>
      </c>
      <c r="B44" s="80" t="s">
        <v>98</v>
      </c>
      <c r="C44" s="80"/>
      <c r="D44" s="35" t="s">
        <v>67</v>
      </c>
      <c r="E44" s="35" t="s">
        <v>108</v>
      </c>
      <c r="F44" s="36">
        <f>'[10]BẢNG 2. KDA-KHTC 2026 '!I28/'[10]BẢNG 2. KDA-KHTC 2026 '!H28</f>
        <v>1</v>
      </c>
      <c r="G44" s="32" t="s">
        <v>99</v>
      </c>
      <c r="H44" s="39" t="s">
        <v>100</v>
      </c>
    </row>
    <row r="45" spans="1:8" customFormat="1" ht="40.5" customHeight="1" x14ac:dyDescent="0.25">
      <c r="A45" s="34">
        <v>28.3</v>
      </c>
      <c r="B45" s="78" t="s">
        <v>105</v>
      </c>
      <c r="C45" s="78"/>
      <c r="D45" s="35" t="s">
        <v>67</v>
      </c>
      <c r="E45" s="35" t="s">
        <v>108</v>
      </c>
      <c r="F45" s="36">
        <f>'[10]BẢNG 2. KDA-KHTC 2026 '!I29/'[10]BẢNG 2. KDA-KHTC 2026 '!H29</f>
        <v>1</v>
      </c>
      <c r="G45" s="32" t="s">
        <v>107</v>
      </c>
      <c r="H45" s="39"/>
    </row>
    <row r="46" spans="1:8" ht="48" customHeight="1" x14ac:dyDescent="0.25">
      <c r="A46" s="11">
        <v>29</v>
      </c>
      <c r="B46" s="67" t="s">
        <v>32</v>
      </c>
      <c r="C46" s="67"/>
      <c r="D46" s="12" t="s">
        <v>10</v>
      </c>
      <c r="E46" s="12" t="s">
        <v>78</v>
      </c>
      <c r="F46" s="15"/>
      <c r="G46" s="15" t="s">
        <v>80</v>
      </c>
      <c r="H46" s="29" t="s">
        <v>77</v>
      </c>
    </row>
    <row r="47" spans="1:8" ht="52.5" customHeight="1" x14ac:dyDescent="0.25">
      <c r="A47" s="11">
        <v>30</v>
      </c>
      <c r="B47" s="67" t="s">
        <v>33</v>
      </c>
      <c r="C47" s="67"/>
      <c r="D47" s="68" t="s">
        <v>8</v>
      </c>
      <c r="E47" s="68"/>
      <c r="F47" s="15" t="s">
        <v>79</v>
      </c>
      <c r="G47" s="15" t="s">
        <v>61</v>
      </c>
      <c r="H47" s="16"/>
    </row>
    <row r="48" spans="1:8" ht="46.5" customHeight="1" x14ac:dyDescent="0.25">
      <c r="A48" s="11">
        <v>31</v>
      </c>
      <c r="B48" s="67" t="s">
        <v>34</v>
      </c>
      <c r="C48" s="67"/>
      <c r="D48" s="12" t="s">
        <v>10</v>
      </c>
      <c r="E48" s="12" t="s">
        <v>20</v>
      </c>
      <c r="F48" s="15"/>
      <c r="G48" s="15" t="s">
        <v>84</v>
      </c>
      <c r="H48" s="16"/>
    </row>
    <row r="49" spans="1:8" ht="40.5" customHeight="1" x14ac:dyDescent="0.25">
      <c r="A49" s="11">
        <v>32</v>
      </c>
      <c r="B49" s="67" t="s">
        <v>35</v>
      </c>
      <c r="C49" s="67"/>
      <c r="D49" s="12" t="s">
        <v>10</v>
      </c>
      <c r="E49" s="12" t="s">
        <v>20</v>
      </c>
      <c r="F49" s="15"/>
      <c r="G49" s="15" t="s">
        <v>83</v>
      </c>
      <c r="H49" s="16"/>
    </row>
    <row r="50" spans="1:8" ht="40.5" customHeight="1" x14ac:dyDescent="0.25">
      <c r="A50" s="11">
        <v>33</v>
      </c>
      <c r="B50" s="67" t="s">
        <v>36</v>
      </c>
      <c r="C50" s="67"/>
      <c r="D50" s="12" t="s">
        <v>10</v>
      </c>
      <c r="E50" s="12" t="s">
        <v>20</v>
      </c>
      <c r="F50" s="15"/>
      <c r="G50" s="15" t="s">
        <v>80</v>
      </c>
      <c r="H50" s="16"/>
    </row>
    <row r="51" spans="1:8" ht="31.5" x14ac:dyDescent="0.25">
      <c r="A51" s="11">
        <v>34</v>
      </c>
      <c r="B51" s="67" t="s">
        <v>37</v>
      </c>
      <c r="C51" s="67"/>
      <c r="D51" s="12" t="s">
        <v>10</v>
      </c>
      <c r="E51" s="12" t="s">
        <v>29</v>
      </c>
      <c r="F51" s="15"/>
      <c r="G51" s="15" t="s">
        <v>80</v>
      </c>
      <c r="H51" s="16"/>
    </row>
    <row r="52" spans="1:8" ht="46.5" customHeight="1" x14ac:dyDescent="0.25">
      <c r="A52" s="11">
        <v>35</v>
      </c>
      <c r="B52" s="67" t="s">
        <v>38</v>
      </c>
      <c r="C52" s="67"/>
      <c r="D52" s="12" t="s">
        <v>10</v>
      </c>
      <c r="E52" s="12" t="s">
        <v>31</v>
      </c>
      <c r="F52" s="15"/>
      <c r="G52" s="15" t="s">
        <v>82</v>
      </c>
      <c r="H52" s="16"/>
    </row>
    <row r="53" spans="1:8" ht="45.75" customHeight="1" x14ac:dyDescent="0.25">
      <c r="A53" s="11">
        <v>36</v>
      </c>
      <c r="B53" s="67" t="s">
        <v>39</v>
      </c>
      <c r="C53" s="67"/>
      <c r="D53" s="68" t="s">
        <v>8</v>
      </c>
      <c r="E53" s="68"/>
      <c r="F53" s="15" t="s">
        <v>85</v>
      </c>
      <c r="G53" s="15" t="s">
        <v>81</v>
      </c>
      <c r="H53" s="16"/>
    </row>
    <row r="54" spans="1:8" ht="41.25" customHeight="1" x14ac:dyDescent="0.25">
      <c r="A54" s="11">
        <v>37</v>
      </c>
      <c r="B54" s="67" t="s">
        <v>40</v>
      </c>
      <c r="C54" s="67"/>
      <c r="D54" s="12" t="s">
        <v>10</v>
      </c>
      <c r="E54" s="12" t="s">
        <v>20</v>
      </c>
      <c r="F54" s="13"/>
      <c r="G54" s="13"/>
      <c r="H54" s="77" t="s">
        <v>46</v>
      </c>
    </row>
    <row r="55" spans="1:8" ht="43.5" customHeight="1" x14ac:dyDescent="0.25">
      <c r="A55" s="11">
        <v>38</v>
      </c>
      <c r="B55" s="67" t="s">
        <v>41</v>
      </c>
      <c r="C55" s="67"/>
      <c r="D55" s="12" t="s">
        <v>10</v>
      </c>
      <c r="E55" s="12" t="s">
        <v>20</v>
      </c>
      <c r="F55" s="13"/>
      <c r="G55" s="13"/>
      <c r="H55" s="77"/>
    </row>
    <row r="56" spans="1:8" ht="43.5" customHeight="1" x14ac:dyDescent="0.25">
      <c r="A56" s="11">
        <v>39</v>
      </c>
      <c r="B56" s="67" t="s">
        <v>42</v>
      </c>
      <c r="C56" s="67"/>
      <c r="D56" s="12" t="s">
        <v>10</v>
      </c>
      <c r="E56" s="12" t="s">
        <v>20</v>
      </c>
      <c r="F56" s="13"/>
      <c r="G56" s="13"/>
      <c r="H56" s="77"/>
    </row>
    <row r="57" spans="1:8" ht="52.5" customHeight="1" x14ac:dyDescent="0.25">
      <c r="A57" s="11">
        <v>40</v>
      </c>
      <c r="B57" s="67" t="s">
        <v>43</v>
      </c>
      <c r="C57" s="67"/>
      <c r="D57" s="12" t="s">
        <v>10</v>
      </c>
      <c r="E57" s="12" t="s">
        <v>29</v>
      </c>
      <c r="F57" s="13"/>
      <c r="G57" s="13"/>
      <c r="H57" s="77"/>
    </row>
    <row r="58" spans="1:8" ht="43.5" customHeight="1" x14ac:dyDescent="0.25">
      <c r="A58" s="11">
        <v>41</v>
      </c>
      <c r="B58" s="67" t="s">
        <v>44</v>
      </c>
      <c r="C58" s="67"/>
      <c r="D58" s="12" t="s">
        <v>10</v>
      </c>
      <c r="E58" s="12" t="s">
        <v>31</v>
      </c>
      <c r="F58" s="13"/>
      <c r="G58" s="13"/>
      <c r="H58" s="77"/>
    </row>
    <row r="59" spans="1:8" ht="135" customHeight="1" x14ac:dyDescent="0.25">
      <c r="A59" s="11"/>
      <c r="B59" s="76" t="s">
        <v>45</v>
      </c>
      <c r="C59" s="76"/>
      <c r="D59" s="76"/>
      <c r="E59" s="76"/>
      <c r="F59" s="76"/>
      <c r="G59" s="76"/>
      <c r="H59" s="76"/>
    </row>
    <row r="61" spans="1:8" s="18" customFormat="1" ht="16.5" x14ac:dyDescent="0.25">
      <c r="B61" s="19"/>
      <c r="D61" s="20" t="s">
        <v>47</v>
      </c>
    </row>
    <row r="62" spans="1:8" s="21" customFormat="1" ht="16.5" x14ac:dyDescent="0.25">
      <c r="B62" s="22" t="s">
        <v>48</v>
      </c>
      <c r="C62" s="22"/>
      <c r="F62" s="21" t="s">
        <v>49</v>
      </c>
    </row>
    <row r="63" spans="1:8" s="21" customFormat="1" ht="16.5" x14ac:dyDescent="0.25">
      <c r="B63" s="22"/>
      <c r="C63" s="22"/>
    </row>
    <row r="64" spans="1:8" s="21" customFormat="1" ht="16.5" x14ac:dyDescent="0.25">
      <c r="B64" s="22"/>
      <c r="C64" s="22"/>
    </row>
    <row r="65" spans="2:3" s="21" customFormat="1" ht="16.5" x14ac:dyDescent="0.25">
      <c r="B65" s="22"/>
      <c r="C65" s="22"/>
    </row>
    <row r="66" spans="2:3" s="21" customFormat="1" ht="16.5" x14ac:dyDescent="0.25">
      <c r="B66" s="22"/>
      <c r="C66" s="22"/>
    </row>
    <row r="67" spans="2:3" s="21" customFormat="1" ht="16.5" x14ac:dyDescent="0.25">
      <c r="B67" s="22"/>
      <c r="C67" s="22"/>
    </row>
    <row r="68" spans="2:3" s="21" customFormat="1" ht="16.5" x14ac:dyDescent="0.25">
      <c r="B68" s="22"/>
      <c r="C68" s="22"/>
    </row>
    <row r="69" spans="2:3" s="21" customFormat="1" ht="16.5" x14ac:dyDescent="0.25">
      <c r="B69" s="22"/>
      <c r="C69" s="22"/>
    </row>
  </sheetData>
  <autoFilter ref="A6:H59" xr:uid="{00000000-0009-0000-0000-000008000000}">
    <filterColumn colId="1" showButton="0"/>
  </autoFilter>
  <mergeCells count="67">
    <mergeCell ref="H10:H12"/>
    <mergeCell ref="B11:C11"/>
    <mergeCell ref="B12:C12"/>
    <mergeCell ref="A2:H2"/>
    <mergeCell ref="A5:A6"/>
    <mergeCell ref="B5:C6"/>
    <mergeCell ref="D5:E5"/>
    <mergeCell ref="F5:F6"/>
    <mergeCell ref="G5:G6"/>
    <mergeCell ref="H5:H6"/>
    <mergeCell ref="B16:C16"/>
    <mergeCell ref="B7:C7"/>
    <mergeCell ref="D7:E7"/>
    <mergeCell ref="B8:C8"/>
    <mergeCell ref="B9:C9"/>
    <mergeCell ref="B10:C10"/>
    <mergeCell ref="A13:A14"/>
    <mergeCell ref="B13:B14"/>
    <mergeCell ref="D13:D14"/>
    <mergeCell ref="E13:E14"/>
    <mergeCell ref="B15:C15"/>
    <mergeCell ref="B28:C28"/>
    <mergeCell ref="B17:C17"/>
    <mergeCell ref="B18:C18"/>
    <mergeCell ref="B19:C19"/>
    <mergeCell ref="B20:C20"/>
    <mergeCell ref="B21:C21"/>
    <mergeCell ref="B22:C22"/>
    <mergeCell ref="B23:C23"/>
    <mergeCell ref="B24:C24"/>
    <mergeCell ref="B25:C25"/>
    <mergeCell ref="B26:C26"/>
    <mergeCell ref="B27:C27"/>
    <mergeCell ref="B46:C46"/>
    <mergeCell ref="B47:C47"/>
    <mergeCell ref="B40:C40"/>
    <mergeCell ref="B29:C29"/>
    <mergeCell ref="B30:C30"/>
    <mergeCell ref="B31:C31"/>
    <mergeCell ref="B32:C32"/>
    <mergeCell ref="B33:C33"/>
    <mergeCell ref="B34:C34"/>
    <mergeCell ref="B35:C35"/>
    <mergeCell ref="B36:C36"/>
    <mergeCell ref="B37:C37"/>
    <mergeCell ref="B38:C38"/>
    <mergeCell ref="B39:C39"/>
    <mergeCell ref="B41:C41"/>
    <mergeCell ref="B42:C42"/>
    <mergeCell ref="B43:C43"/>
    <mergeCell ref="B44:C44"/>
    <mergeCell ref="B45:C45"/>
    <mergeCell ref="D47:E47"/>
    <mergeCell ref="B48:C48"/>
    <mergeCell ref="B49:C49"/>
    <mergeCell ref="B50:C50"/>
    <mergeCell ref="B59:H59"/>
    <mergeCell ref="B52:C52"/>
    <mergeCell ref="B53:C53"/>
    <mergeCell ref="D53:E53"/>
    <mergeCell ref="B54:C54"/>
    <mergeCell ref="H54:H58"/>
    <mergeCell ref="B55:C55"/>
    <mergeCell ref="B56:C56"/>
    <mergeCell ref="B57:C57"/>
    <mergeCell ref="B58:C58"/>
    <mergeCell ref="B51:C51"/>
  </mergeCells>
  <printOptions horizontalCentered="1"/>
  <pageMargins left="0.17" right="0" top="0" bottom="0" header="0.3" footer="0.3"/>
  <pageSetup paperSize="9"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3ACFA-C500-41C3-96EF-7A5375ED3205}">
  <dimension ref="A1:H48"/>
  <sheetViews>
    <sheetView topLeftCell="A10" zoomScale="86" zoomScaleNormal="86" workbookViewId="0">
      <selection activeCell="O19" sqref="O19"/>
    </sheetView>
  </sheetViews>
  <sheetFormatPr defaultColWidth="8.7109375" defaultRowHeight="15" x14ac:dyDescent="0.25"/>
  <cols>
    <col min="1" max="1" width="8.7109375" style="5"/>
    <col min="2" max="2" width="12.42578125" style="23" customWidth="1"/>
    <col min="3" max="3" width="30" style="23" customWidth="1"/>
    <col min="4" max="4" width="13.140625" style="5" bestFit="1" customWidth="1"/>
    <col min="5" max="5" width="13.7109375" style="5" bestFit="1" customWidth="1"/>
    <col min="6" max="7" width="17.85546875" style="5" customWidth="1"/>
    <col min="8" max="8" width="30.7109375" style="5" bestFit="1" customWidth="1"/>
    <col min="9" max="16384" width="8.7109375" style="5"/>
  </cols>
  <sheetData>
    <row r="1" spans="1:8" ht="15.75" x14ac:dyDescent="0.25">
      <c r="A1" s="1"/>
      <c r="B1" s="2"/>
      <c r="C1" s="3"/>
      <c r="D1" s="4"/>
      <c r="E1" s="4"/>
      <c r="F1" s="4"/>
      <c r="G1" s="4"/>
      <c r="H1" s="2"/>
    </row>
    <row r="2" spans="1:8" ht="45.95" customHeight="1" x14ac:dyDescent="0.25">
      <c r="A2" s="92" t="s">
        <v>50</v>
      </c>
      <c r="B2" s="93"/>
      <c r="C2" s="93"/>
      <c r="D2" s="93"/>
      <c r="E2" s="93"/>
      <c r="F2" s="93"/>
      <c r="G2" s="93"/>
      <c r="H2" s="93"/>
    </row>
    <row r="3" spans="1:8" ht="25.5" x14ac:dyDescent="0.25">
      <c r="A3" s="6"/>
      <c r="B3" s="7"/>
      <c r="C3" s="7"/>
      <c r="D3" s="41" t="s">
        <v>112</v>
      </c>
      <c r="E3" s="7"/>
      <c r="F3" s="7"/>
      <c r="G3" s="7"/>
      <c r="H3" s="7"/>
    </row>
    <row r="4" spans="1:8" ht="15.75" x14ac:dyDescent="0.25">
      <c r="A4" s="1"/>
      <c r="B4" s="2"/>
      <c r="C4" s="3"/>
      <c r="D4" s="8"/>
      <c r="E4" s="8"/>
      <c r="F4" s="8"/>
      <c r="G4" s="8"/>
      <c r="H4" s="9"/>
    </row>
    <row r="5" spans="1:8" ht="21" customHeight="1" x14ac:dyDescent="0.25">
      <c r="A5" s="71" t="s">
        <v>0</v>
      </c>
      <c r="B5" s="72" t="s">
        <v>1</v>
      </c>
      <c r="C5" s="72"/>
      <c r="D5" s="73" t="s">
        <v>2</v>
      </c>
      <c r="E5" s="73"/>
      <c r="F5" s="73" t="s">
        <v>3</v>
      </c>
      <c r="G5" s="74" t="s">
        <v>52</v>
      </c>
      <c r="H5" s="72" t="s">
        <v>4</v>
      </c>
    </row>
    <row r="6" spans="1:8" ht="37.5" customHeight="1" x14ac:dyDescent="0.25">
      <c r="A6" s="71"/>
      <c r="B6" s="72"/>
      <c r="C6" s="72"/>
      <c r="D6" s="10" t="s">
        <v>5</v>
      </c>
      <c r="E6" s="10" t="s">
        <v>6</v>
      </c>
      <c r="F6" s="73"/>
      <c r="G6" s="75"/>
      <c r="H6" s="72"/>
    </row>
    <row r="7" spans="1:8" ht="40.5" customHeight="1" x14ac:dyDescent="0.25">
      <c r="A7" s="11">
        <v>1</v>
      </c>
      <c r="B7" s="90" t="s">
        <v>139</v>
      </c>
      <c r="C7" s="90"/>
      <c r="D7" s="68" t="s">
        <v>8</v>
      </c>
      <c r="E7" s="68"/>
      <c r="F7" s="13" t="s">
        <v>140</v>
      </c>
      <c r="G7" s="15" t="s">
        <v>81</v>
      </c>
      <c r="H7" s="14"/>
    </row>
    <row r="8" spans="1:8" ht="45.75" customHeight="1" x14ac:dyDescent="0.25">
      <c r="A8" s="11">
        <v>2</v>
      </c>
      <c r="B8" s="59" t="s">
        <v>113</v>
      </c>
      <c r="C8" s="59"/>
      <c r="D8" s="12" t="s">
        <v>10</v>
      </c>
      <c r="E8" s="43"/>
      <c r="F8" s="13"/>
      <c r="G8" s="15" t="s">
        <v>56</v>
      </c>
      <c r="H8" s="14" t="s">
        <v>53</v>
      </c>
    </row>
    <row r="9" spans="1:8" ht="87.75" customHeight="1" x14ac:dyDescent="0.25">
      <c r="A9" s="11">
        <v>3</v>
      </c>
      <c r="B9" s="59" t="s">
        <v>117</v>
      </c>
      <c r="C9" s="59"/>
      <c r="D9" s="12" t="s">
        <v>10</v>
      </c>
      <c r="E9" s="12" t="s">
        <v>116</v>
      </c>
      <c r="F9" s="24">
        <v>1</v>
      </c>
      <c r="G9" s="15" t="s">
        <v>115</v>
      </c>
      <c r="H9" s="42" t="s">
        <v>138</v>
      </c>
    </row>
    <row r="10" spans="1:8" ht="87" customHeight="1" x14ac:dyDescent="0.25">
      <c r="A10" s="11">
        <v>4</v>
      </c>
      <c r="B10" s="59" t="s">
        <v>114</v>
      </c>
      <c r="C10" s="59"/>
      <c r="D10" s="12" t="s">
        <v>10</v>
      </c>
      <c r="E10" s="12" t="s">
        <v>13</v>
      </c>
      <c r="F10" s="24">
        <v>1</v>
      </c>
      <c r="G10" s="15" t="s">
        <v>57</v>
      </c>
      <c r="H10" s="13"/>
    </row>
    <row r="11" spans="1:8" ht="38.1" customHeight="1" x14ac:dyDescent="0.25">
      <c r="A11" s="11">
        <v>5</v>
      </c>
      <c r="B11" s="59" t="s">
        <v>118</v>
      </c>
      <c r="C11" s="59"/>
      <c r="D11" s="12" t="s">
        <v>10</v>
      </c>
      <c r="E11" s="12" t="s">
        <v>13</v>
      </c>
      <c r="F11" s="24">
        <v>1</v>
      </c>
      <c r="G11" s="15" t="s">
        <v>84</v>
      </c>
      <c r="H11" s="44"/>
    </row>
    <row r="12" spans="1:8" ht="38.1" customHeight="1" x14ac:dyDescent="0.25">
      <c r="A12" s="11">
        <v>6</v>
      </c>
      <c r="B12" s="62" t="s">
        <v>119</v>
      </c>
      <c r="C12" s="63"/>
      <c r="D12" s="12" t="s">
        <v>13</v>
      </c>
      <c r="E12" s="12"/>
      <c r="F12" s="24">
        <v>1</v>
      </c>
      <c r="G12" s="15" t="s">
        <v>120</v>
      </c>
      <c r="H12" s="44"/>
    </row>
    <row r="13" spans="1:8" ht="38.1" customHeight="1" x14ac:dyDescent="0.25">
      <c r="A13" s="11">
        <v>7</v>
      </c>
      <c r="B13" s="62" t="s">
        <v>55</v>
      </c>
      <c r="C13" s="63"/>
      <c r="D13" s="12" t="s">
        <v>10</v>
      </c>
      <c r="E13" s="12" t="s">
        <v>13</v>
      </c>
      <c r="F13" s="24">
        <v>1</v>
      </c>
      <c r="G13" s="15" t="s">
        <v>80</v>
      </c>
      <c r="H13" s="44"/>
    </row>
    <row r="14" spans="1:8" ht="38.1" customHeight="1" x14ac:dyDescent="0.25">
      <c r="A14" s="11">
        <v>8</v>
      </c>
      <c r="B14" s="94" t="s">
        <v>137</v>
      </c>
      <c r="C14" s="95"/>
      <c r="D14" s="12" t="s">
        <v>121</v>
      </c>
      <c r="E14" s="12" t="s">
        <v>13</v>
      </c>
      <c r="F14" s="24">
        <v>1</v>
      </c>
      <c r="G14" s="15" t="s">
        <v>122</v>
      </c>
      <c r="H14" s="44"/>
    </row>
    <row r="15" spans="1:8" ht="37.5" customHeight="1" x14ac:dyDescent="0.25">
      <c r="A15" s="11">
        <v>9</v>
      </c>
      <c r="B15" s="67" t="s">
        <v>14</v>
      </c>
      <c r="C15" s="67"/>
      <c r="D15" s="12" t="s">
        <v>10</v>
      </c>
      <c r="E15" s="12" t="s">
        <v>15</v>
      </c>
      <c r="F15" s="24">
        <v>1</v>
      </c>
      <c r="G15" s="15" t="s">
        <v>82</v>
      </c>
      <c r="H15" s="44"/>
    </row>
    <row r="16" spans="1:8" ht="54.95" customHeight="1" x14ac:dyDescent="0.25">
      <c r="A16" s="11">
        <v>10</v>
      </c>
      <c r="B16" s="87" t="s">
        <v>19</v>
      </c>
      <c r="C16" s="87"/>
      <c r="D16" s="12" t="s">
        <v>10</v>
      </c>
      <c r="E16" s="12" t="s">
        <v>20</v>
      </c>
      <c r="F16" s="24">
        <v>1</v>
      </c>
      <c r="G16" s="15" t="s">
        <v>80</v>
      </c>
      <c r="H16" s="16"/>
    </row>
    <row r="17" spans="1:8" ht="54.95" customHeight="1" x14ac:dyDescent="0.25">
      <c r="A17" s="11">
        <v>11</v>
      </c>
      <c r="B17" s="88" t="s">
        <v>124</v>
      </c>
      <c r="C17" s="89"/>
      <c r="D17" s="12" t="s">
        <v>21</v>
      </c>
      <c r="E17" s="12" t="s">
        <v>10</v>
      </c>
      <c r="F17" s="24">
        <v>1</v>
      </c>
      <c r="G17" s="15" t="s">
        <v>125</v>
      </c>
      <c r="H17" s="16"/>
    </row>
    <row r="18" spans="1:8" ht="54.95" customHeight="1" x14ac:dyDescent="0.25">
      <c r="A18" s="11">
        <v>12</v>
      </c>
      <c r="B18" s="94" t="s">
        <v>126</v>
      </c>
      <c r="C18" s="95"/>
      <c r="D18" s="12" t="s">
        <v>21</v>
      </c>
      <c r="E18" s="12" t="s">
        <v>10</v>
      </c>
      <c r="F18" s="24">
        <v>1</v>
      </c>
      <c r="G18" s="15" t="s">
        <v>127</v>
      </c>
      <c r="H18" s="16"/>
    </row>
    <row r="19" spans="1:8" ht="54.95" customHeight="1" x14ac:dyDescent="0.25">
      <c r="A19" s="11">
        <v>13</v>
      </c>
      <c r="B19" s="88" t="s">
        <v>62</v>
      </c>
      <c r="C19" s="89"/>
      <c r="D19" s="12" t="s">
        <v>21</v>
      </c>
      <c r="E19" s="12" t="s">
        <v>10</v>
      </c>
      <c r="F19" s="24">
        <v>1</v>
      </c>
      <c r="G19" s="15" t="s">
        <v>123</v>
      </c>
      <c r="H19" s="16"/>
    </row>
    <row r="20" spans="1:8" ht="35.450000000000003" customHeight="1" x14ac:dyDescent="0.25">
      <c r="A20" s="11">
        <v>14</v>
      </c>
      <c r="B20" s="83" t="s">
        <v>63</v>
      </c>
      <c r="C20" s="83"/>
      <c r="D20" s="12" t="s">
        <v>10</v>
      </c>
      <c r="E20" s="17" t="s">
        <v>21</v>
      </c>
      <c r="F20" s="24"/>
      <c r="G20" s="15"/>
      <c r="H20" s="97" t="s">
        <v>136</v>
      </c>
    </row>
    <row r="21" spans="1:8" ht="35.450000000000003" customHeight="1" x14ac:dyDescent="0.25">
      <c r="A21" s="11">
        <v>15</v>
      </c>
      <c r="B21" s="83" t="s">
        <v>64</v>
      </c>
      <c r="C21" s="83"/>
      <c r="D21" s="17" t="s">
        <v>21</v>
      </c>
      <c r="E21" s="12" t="s">
        <v>10</v>
      </c>
      <c r="F21" s="24"/>
      <c r="G21" s="15"/>
      <c r="H21" s="98"/>
    </row>
    <row r="22" spans="1:8" ht="35.450000000000003" customHeight="1" x14ac:dyDescent="0.25">
      <c r="A22" s="11">
        <v>16</v>
      </c>
      <c r="B22" s="83" t="s">
        <v>65</v>
      </c>
      <c r="C22" s="83"/>
      <c r="D22" s="12" t="s">
        <v>10</v>
      </c>
      <c r="E22" s="12" t="s">
        <v>21</v>
      </c>
      <c r="F22" s="24"/>
      <c r="G22" s="15"/>
      <c r="H22" s="98"/>
    </row>
    <row r="23" spans="1:8" ht="35.450000000000003" customHeight="1" x14ac:dyDescent="0.25">
      <c r="A23" s="11">
        <v>17</v>
      </c>
      <c r="B23" s="83" t="s">
        <v>22</v>
      </c>
      <c r="C23" s="83"/>
      <c r="D23" s="12" t="s">
        <v>10</v>
      </c>
      <c r="E23" s="12" t="s">
        <v>21</v>
      </c>
      <c r="F23" s="28"/>
      <c r="G23" s="15"/>
      <c r="H23" s="98"/>
    </row>
    <row r="24" spans="1:8" ht="35.450000000000003" customHeight="1" x14ac:dyDescent="0.25">
      <c r="A24" s="11">
        <v>18</v>
      </c>
      <c r="B24" s="83" t="s">
        <v>23</v>
      </c>
      <c r="C24" s="83"/>
      <c r="D24" s="12" t="s">
        <v>10</v>
      </c>
      <c r="E24" s="17" t="s">
        <v>21</v>
      </c>
      <c r="F24" s="28"/>
      <c r="G24" s="15"/>
      <c r="H24" s="98"/>
    </row>
    <row r="25" spans="1:8" ht="35.450000000000003" customHeight="1" x14ac:dyDescent="0.25">
      <c r="A25" s="11">
        <v>19</v>
      </c>
      <c r="B25" s="83" t="s">
        <v>24</v>
      </c>
      <c r="C25" s="83"/>
      <c r="D25" s="12" t="s">
        <v>10</v>
      </c>
      <c r="E25" s="17" t="s">
        <v>21</v>
      </c>
      <c r="F25" s="28"/>
      <c r="G25" s="15"/>
      <c r="H25" s="98"/>
    </row>
    <row r="26" spans="1:8" ht="35.450000000000003" customHeight="1" x14ac:dyDescent="0.25">
      <c r="A26" s="11">
        <v>20</v>
      </c>
      <c r="B26" s="83" t="s">
        <v>25</v>
      </c>
      <c r="C26" s="83"/>
      <c r="D26" s="12" t="s">
        <v>21</v>
      </c>
      <c r="E26" s="12" t="s">
        <v>10</v>
      </c>
      <c r="F26" s="28"/>
      <c r="G26" s="15"/>
      <c r="H26" s="98"/>
    </row>
    <row r="27" spans="1:8" ht="36.950000000000003" customHeight="1" x14ac:dyDescent="0.25">
      <c r="A27" s="11">
        <v>21</v>
      </c>
      <c r="B27" s="83" t="s">
        <v>71</v>
      </c>
      <c r="C27" s="83"/>
      <c r="D27" s="12" t="s">
        <v>21</v>
      </c>
      <c r="E27" s="12" t="s">
        <v>10</v>
      </c>
      <c r="F27" s="28"/>
      <c r="G27" s="15"/>
      <c r="H27" s="98"/>
    </row>
    <row r="28" spans="1:8" ht="46.5" customHeight="1" x14ac:dyDescent="0.25">
      <c r="A28" s="11">
        <v>22</v>
      </c>
      <c r="B28" s="59" t="s">
        <v>128</v>
      </c>
      <c r="C28" s="59"/>
      <c r="D28" s="12" t="s">
        <v>10</v>
      </c>
      <c r="E28" s="12" t="s">
        <v>20</v>
      </c>
      <c r="F28" s="28"/>
      <c r="G28" s="15"/>
      <c r="H28" s="98"/>
    </row>
    <row r="29" spans="1:8" ht="39" customHeight="1" x14ac:dyDescent="0.25">
      <c r="A29" s="11">
        <v>23</v>
      </c>
      <c r="B29" s="59" t="s">
        <v>129</v>
      </c>
      <c r="C29" s="59"/>
      <c r="D29" s="12" t="s">
        <v>10</v>
      </c>
      <c r="E29" s="12" t="s">
        <v>20</v>
      </c>
      <c r="F29" s="28"/>
      <c r="G29" s="15"/>
      <c r="H29" s="98"/>
    </row>
    <row r="30" spans="1:8" ht="39" customHeight="1" x14ac:dyDescent="0.25">
      <c r="A30" s="11">
        <v>24</v>
      </c>
      <c r="B30" s="67" t="s">
        <v>72</v>
      </c>
      <c r="C30" s="67"/>
      <c r="D30" s="12" t="s">
        <v>21</v>
      </c>
      <c r="E30" s="12" t="s">
        <v>10</v>
      </c>
      <c r="F30" s="28"/>
      <c r="G30" s="15"/>
      <c r="H30" s="98"/>
    </row>
    <row r="31" spans="1:8" ht="39" customHeight="1" x14ac:dyDescent="0.25">
      <c r="A31" s="11">
        <v>25</v>
      </c>
      <c r="B31" s="67" t="s">
        <v>73</v>
      </c>
      <c r="C31" s="67"/>
      <c r="D31" s="12" t="s">
        <v>10</v>
      </c>
      <c r="E31" s="12" t="s">
        <v>20</v>
      </c>
      <c r="F31" s="28"/>
      <c r="G31" s="15"/>
      <c r="H31" s="98"/>
    </row>
    <row r="32" spans="1:8" ht="39" customHeight="1" x14ac:dyDescent="0.25">
      <c r="A32" s="11">
        <v>26</v>
      </c>
      <c r="B32" s="67" t="s">
        <v>130</v>
      </c>
      <c r="C32" s="67"/>
      <c r="D32" s="12" t="s">
        <v>21</v>
      </c>
      <c r="E32" s="12" t="s">
        <v>10</v>
      </c>
      <c r="F32" s="28"/>
      <c r="G32" s="15"/>
      <c r="H32" s="98"/>
    </row>
    <row r="33" spans="1:8" ht="39" customHeight="1" x14ac:dyDescent="0.25">
      <c r="A33" s="11">
        <v>27</v>
      </c>
      <c r="B33" s="67" t="s">
        <v>131</v>
      </c>
      <c r="C33" s="67"/>
      <c r="D33" s="12" t="s">
        <v>10</v>
      </c>
      <c r="E33" s="12" t="s">
        <v>20</v>
      </c>
      <c r="F33" s="15"/>
      <c r="G33" s="15"/>
      <c r="H33" s="98"/>
    </row>
    <row r="34" spans="1:8" ht="39" customHeight="1" x14ac:dyDescent="0.25">
      <c r="A34" s="11">
        <v>28</v>
      </c>
      <c r="B34" s="67" t="s">
        <v>134</v>
      </c>
      <c r="C34" s="67"/>
      <c r="D34" s="12" t="s">
        <v>10</v>
      </c>
      <c r="E34" s="12" t="s">
        <v>29</v>
      </c>
      <c r="F34" s="28"/>
      <c r="G34" s="15"/>
      <c r="H34" s="98"/>
    </row>
    <row r="35" spans="1:8" ht="196.5" customHeight="1" x14ac:dyDescent="0.25">
      <c r="A35" s="11">
        <v>29</v>
      </c>
      <c r="B35" s="67" t="s">
        <v>132</v>
      </c>
      <c r="C35" s="67"/>
      <c r="D35" s="12" t="s">
        <v>10</v>
      </c>
      <c r="E35" s="12" t="s">
        <v>31</v>
      </c>
      <c r="F35" s="28"/>
      <c r="G35" s="15"/>
      <c r="H35" s="98"/>
    </row>
    <row r="36" spans="1:8" customFormat="1" ht="156.75" customHeight="1" x14ac:dyDescent="0.25">
      <c r="A36" s="11">
        <v>30</v>
      </c>
      <c r="B36" s="96" t="s">
        <v>133</v>
      </c>
      <c r="C36" s="96"/>
      <c r="D36" s="35" t="s">
        <v>67</v>
      </c>
      <c r="E36" s="35" t="s">
        <v>90</v>
      </c>
      <c r="F36" s="36"/>
      <c r="G36" s="37"/>
      <c r="H36" s="98"/>
    </row>
    <row r="37" spans="1:8" ht="39" customHeight="1" x14ac:dyDescent="0.25">
      <c r="A37" s="11">
        <v>31</v>
      </c>
      <c r="B37" s="67" t="s">
        <v>134</v>
      </c>
      <c r="C37" s="67"/>
      <c r="D37" s="12" t="s">
        <v>10</v>
      </c>
      <c r="E37" s="12" t="s">
        <v>29</v>
      </c>
      <c r="F37" s="28"/>
      <c r="G37" s="15"/>
      <c r="H37" s="99"/>
    </row>
    <row r="38" spans="1:8" ht="78.75" customHeight="1" x14ac:dyDescent="0.25">
      <c r="A38" s="11"/>
      <c r="B38" s="59" t="s">
        <v>135</v>
      </c>
      <c r="C38" s="59"/>
      <c r="D38" s="59"/>
      <c r="E38" s="59"/>
      <c r="F38" s="59"/>
      <c r="G38" s="59"/>
      <c r="H38" s="59"/>
    </row>
    <row r="40" spans="1:8" s="18" customFormat="1" ht="16.5" x14ac:dyDescent="0.25">
      <c r="B40" s="19"/>
      <c r="D40" s="20" t="s">
        <v>47</v>
      </c>
    </row>
    <row r="41" spans="1:8" s="21" customFormat="1" ht="16.5" x14ac:dyDescent="0.25">
      <c r="B41" s="22" t="s">
        <v>48</v>
      </c>
      <c r="C41" s="22"/>
      <c r="F41" s="21" t="s">
        <v>49</v>
      </c>
    </row>
    <row r="42" spans="1:8" s="21" customFormat="1" ht="16.5" x14ac:dyDescent="0.25">
      <c r="B42" s="22"/>
      <c r="C42" s="22"/>
    </row>
    <row r="43" spans="1:8" s="21" customFormat="1" ht="16.5" x14ac:dyDescent="0.25">
      <c r="B43" s="22"/>
      <c r="C43" s="22"/>
    </row>
    <row r="44" spans="1:8" s="21" customFormat="1" ht="16.5" x14ac:dyDescent="0.25">
      <c r="B44" s="22"/>
      <c r="C44" s="22"/>
    </row>
    <row r="45" spans="1:8" s="21" customFormat="1" ht="16.5" x14ac:dyDescent="0.25">
      <c r="B45" s="22"/>
      <c r="C45" s="22"/>
    </row>
    <row r="46" spans="1:8" s="21" customFormat="1" ht="16.5" x14ac:dyDescent="0.25">
      <c r="B46" s="22"/>
      <c r="C46" s="22"/>
    </row>
    <row r="47" spans="1:8" s="21" customFormat="1" ht="16.5" x14ac:dyDescent="0.25">
      <c r="B47" s="22"/>
      <c r="C47" s="22"/>
    </row>
    <row r="48" spans="1:8" s="21" customFormat="1" ht="16.5" x14ac:dyDescent="0.25">
      <c r="B48" s="22"/>
      <c r="C48" s="22"/>
    </row>
  </sheetData>
  <autoFilter ref="A6:H38" xr:uid="{00000000-0009-0000-0000-000008000000}">
    <filterColumn colId="1" showButton="0"/>
  </autoFilter>
  <mergeCells count="41">
    <mergeCell ref="B7:C7"/>
    <mergeCell ref="D7:E7"/>
    <mergeCell ref="A2:H2"/>
    <mergeCell ref="A5:A6"/>
    <mergeCell ref="B5:C6"/>
    <mergeCell ref="D5:E5"/>
    <mergeCell ref="F5:F6"/>
    <mergeCell ref="H5:H6"/>
    <mergeCell ref="G5:G6"/>
    <mergeCell ref="B25:C25"/>
    <mergeCell ref="B26:C26"/>
    <mergeCell ref="B27:C27"/>
    <mergeCell ref="B16:C16"/>
    <mergeCell ref="B17:C17"/>
    <mergeCell ref="B18:C18"/>
    <mergeCell ref="B19:C19"/>
    <mergeCell ref="B24:C24"/>
    <mergeCell ref="B38:H38"/>
    <mergeCell ref="B28:C28"/>
    <mergeCell ref="B29:C29"/>
    <mergeCell ref="B31:C31"/>
    <mergeCell ref="B33:C33"/>
    <mergeCell ref="B34:C34"/>
    <mergeCell ref="B35:C35"/>
    <mergeCell ref="B32:C32"/>
    <mergeCell ref="B36:C36"/>
    <mergeCell ref="B37:C37"/>
    <mergeCell ref="H20:H37"/>
    <mergeCell ref="B21:C21"/>
    <mergeCell ref="B22:C22"/>
    <mergeCell ref="B20:C20"/>
    <mergeCell ref="B30:C30"/>
    <mergeCell ref="B23:C23"/>
    <mergeCell ref="B15:C15"/>
    <mergeCell ref="B8:C8"/>
    <mergeCell ref="B9:C9"/>
    <mergeCell ref="B10:C10"/>
    <mergeCell ref="B11:C11"/>
    <mergeCell ref="B13:C13"/>
    <mergeCell ref="B12:C12"/>
    <mergeCell ref="B14:C14"/>
  </mergeCells>
  <printOptions horizontalCentered="1"/>
  <pageMargins left="0.17" right="0" top="0" bottom="0" header="0.3" footer="0.3"/>
  <pageSetup paperSize="9" scale="8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2327E-EB42-4CE3-8823-F08930689F69}">
  <dimension ref="A2:H39"/>
  <sheetViews>
    <sheetView topLeftCell="A10" workbookViewId="0">
      <selection activeCell="H14" sqref="H14"/>
    </sheetView>
  </sheetViews>
  <sheetFormatPr defaultRowHeight="15" x14ac:dyDescent="0.25"/>
  <cols>
    <col min="2" max="2" width="14.42578125" customWidth="1"/>
    <col min="3" max="3" width="37" customWidth="1"/>
    <col min="4" max="4" width="13.28515625" customWidth="1"/>
    <col min="5" max="6" width="16.140625" customWidth="1"/>
    <col min="7" max="7" width="16" customWidth="1"/>
    <col min="8" max="8" width="23.85546875" customWidth="1"/>
  </cols>
  <sheetData>
    <row r="2" spans="1:8" ht="19.5" x14ac:dyDescent="0.3">
      <c r="A2" s="69" t="s">
        <v>141</v>
      </c>
      <c r="B2" s="69"/>
      <c r="C2" s="69"/>
      <c r="D2" s="69"/>
      <c r="E2" s="69"/>
      <c r="F2" s="69"/>
      <c r="G2" s="69"/>
      <c r="H2" s="69"/>
    </row>
    <row r="3" spans="1:8" ht="45.75" customHeight="1" x14ac:dyDescent="0.3">
      <c r="A3" s="47"/>
      <c r="B3" s="70" t="s">
        <v>191</v>
      </c>
      <c r="C3" s="69"/>
      <c r="D3" s="69"/>
      <c r="E3" s="69"/>
      <c r="F3" s="69"/>
      <c r="G3" s="69"/>
      <c r="H3" s="69"/>
    </row>
    <row r="5" spans="1:8" ht="15.75" x14ac:dyDescent="0.25">
      <c r="A5" s="71" t="s">
        <v>0</v>
      </c>
      <c r="B5" s="72" t="s">
        <v>1</v>
      </c>
      <c r="C5" s="72"/>
      <c r="D5" s="73" t="s">
        <v>2</v>
      </c>
      <c r="E5" s="73"/>
      <c r="F5" s="74" t="s">
        <v>3</v>
      </c>
      <c r="G5" s="73" t="s">
        <v>52</v>
      </c>
      <c r="H5" s="74" t="s">
        <v>4</v>
      </c>
    </row>
    <row r="6" spans="1:8" ht="15.75" x14ac:dyDescent="0.25">
      <c r="A6" s="71"/>
      <c r="B6" s="72"/>
      <c r="C6" s="72"/>
      <c r="D6" s="10" t="s">
        <v>5</v>
      </c>
      <c r="E6" s="10" t="s">
        <v>6</v>
      </c>
      <c r="F6" s="75"/>
      <c r="G6" s="73"/>
      <c r="H6" s="75"/>
    </row>
    <row r="7" spans="1:8" ht="31.5" x14ac:dyDescent="0.25">
      <c r="A7" s="48">
        <v>1</v>
      </c>
      <c r="B7" s="67" t="s">
        <v>143</v>
      </c>
      <c r="C7" s="67"/>
      <c r="D7" s="68" t="s">
        <v>8</v>
      </c>
      <c r="E7" s="68"/>
      <c r="F7" s="49" t="s">
        <v>192</v>
      </c>
      <c r="G7" s="43" t="s">
        <v>187</v>
      </c>
      <c r="H7" s="43"/>
    </row>
    <row r="8" spans="1:8" ht="110.25" x14ac:dyDescent="0.25">
      <c r="A8" s="100">
        <v>2</v>
      </c>
      <c r="B8" s="50" t="s">
        <v>147</v>
      </c>
      <c r="C8" s="50" t="s">
        <v>148</v>
      </c>
      <c r="D8" s="12" t="s">
        <v>10</v>
      </c>
      <c r="E8" s="12" t="s">
        <v>116</v>
      </c>
      <c r="F8" s="49">
        <v>1</v>
      </c>
      <c r="G8" s="15" t="s">
        <v>188</v>
      </c>
      <c r="H8" s="43"/>
    </row>
    <row r="9" spans="1:8" ht="78.75" x14ac:dyDescent="0.25">
      <c r="A9" s="100"/>
      <c r="B9" s="50" t="s">
        <v>149</v>
      </c>
      <c r="C9" s="50" t="s">
        <v>150</v>
      </c>
      <c r="D9" s="12" t="s">
        <v>10</v>
      </c>
      <c r="E9" s="12" t="s">
        <v>116</v>
      </c>
      <c r="F9" s="49">
        <v>1</v>
      </c>
      <c r="G9" s="15" t="s">
        <v>188</v>
      </c>
      <c r="H9" s="43"/>
    </row>
    <row r="10" spans="1:8" ht="75" customHeight="1" x14ac:dyDescent="0.25">
      <c r="A10" s="48">
        <v>3</v>
      </c>
      <c r="B10" s="104" t="s">
        <v>151</v>
      </c>
      <c r="C10" s="104"/>
      <c r="D10" s="12" t="s">
        <v>10</v>
      </c>
      <c r="E10" s="12" t="s">
        <v>15</v>
      </c>
      <c r="F10" s="49">
        <v>1</v>
      </c>
      <c r="G10" s="15" t="s">
        <v>187</v>
      </c>
      <c r="H10" s="43"/>
    </row>
    <row r="11" spans="1:8" ht="31.5" x14ac:dyDescent="0.25">
      <c r="A11" s="48">
        <v>4</v>
      </c>
      <c r="B11" s="104" t="s">
        <v>153</v>
      </c>
      <c r="C11" s="104"/>
      <c r="D11" s="12" t="s">
        <v>10</v>
      </c>
      <c r="E11" s="12" t="s">
        <v>116</v>
      </c>
      <c r="F11" s="49">
        <v>1</v>
      </c>
      <c r="G11" s="15"/>
      <c r="H11" s="43" t="s">
        <v>168</v>
      </c>
    </row>
    <row r="12" spans="1:8" ht="31.5" x14ac:dyDescent="0.25">
      <c r="A12" s="48">
        <v>5</v>
      </c>
      <c r="B12" s="67" t="s">
        <v>155</v>
      </c>
      <c r="C12" s="67"/>
      <c r="D12" s="12" t="s">
        <v>10</v>
      </c>
      <c r="E12" s="12" t="s">
        <v>67</v>
      </c>
      <c r="F12" s="49">
        <v>1</v>
      </c>
      <c r="G12" s="15" t="s">
        <v>188</v>
      </c>
      <c r="H12" s="43"/>
    </row>
    <row r="13" spans="1:8" ht="63" x14ac:dyDescent="0.25">
      <c r="A13" s="48">
        <v>6</v>
      </c>
      <c r="B13" s="67" t="s">
        <v>156</v>
      </c>
      <c r="C13" s="67"/>
      <c r="D13" s="12" t="s">
        <v>10</v>
      </c>
      <c r="E13" s="12" t="s">
        <v>67</v>
      </c>
      <c r="F13" s="49">
        <v>1</v>
      </c>
      <c r="G13" s="15"/>
      <c r="H13" s="43" t="s">
        <v>190</v>
      </c>
    </row>
    <row r="14" spans="1:8" ht="31.5" x14ac:dyDescent="0.25">
      <c r="A14" s="48">
        <v>7</v>
      </c>
      <c r="B14" s="67" t="s">
        <v>158</v>
      </c>
      <c r="C14" s="67"/>
      <c r="D14" s="12" t="s">
        <v>67</v>
      </c>
      <c r="E14" s="12" t="s">
        <v>10</v>
      </c>
      <c r="F14" s="49">
        <v>1</v>
      </c>
      <c r="G14" s="32" t="s">
        <v>159</v>
      </c>
      <c r="H14" s="55" t="s">
        <v>189</v>
      </c>
    </row>
    <row r="15" spans="1:8" ht="31.5" x14ac:dyDescent="0.25">
      <c r="A15" s="48">
        <v>8</v>
      </c>
      <c r="B15" s="67" t="s">
        <v>160</v>
      </c>
      <c r="C15" s="67"/>
      <c r="D15" s="12" t="s">
        <v>10</v>
      </c>
      <c r="E15" s="12" t="s">
        <v>67</v>
      </c>
      <c r="F15" s="49">
        <v>1</v>
      </c>
      <c r="G15" s="15"/>
      <c r="H15" s="43" t="s">
        <v>168</v>
      </c>
    </row>
    <row r="16" spans="1:8" ht="15.75" x14ac:dyDescent="0.25">
      <c r="A16" s="48">
        <v>9</v>
      </c>
      <c r="B16" s="62" t="s">
        <v>162</v>
      </c>
      <c r="C16" s="63"/>
      <c r="D16" s="12" t="s">
        <v>163</v>
      </c>
      <c r="E16" s="12" t="s">
        <v>164</v>
      </c>
      <c r="F16" s="36">
        <v>1</v>
      </c>
      <c r="G16" s="32" t="s">
        <v>165</v>
      </c>
      <c r="H16" s="46"/>
    </row>
    <row r="17" spans="1:8" ht="31.5" x14ac:dyDescent="0.25">
      <c r="A17" s="48">
        <v>10</v>
      </c>
      <c r="B17" s="67" t="s">
        <v>14</v>
      </c>
      <c r="C17" s="67"/>
      <c r="D17" s="12" t="s">
        <v>10</v>
      </c>
      <c r="E17" s="12" t="s">
        <v>15</v>
      </c>
      <c r="F17" s="12"/>
      <c r="G17" s="15"/>
      <c r="H17" s="45" t="s">
        <v>166</v>
      </c>
    </row>
    <row r="18" spans="1:8" ht="31.5" x14ac:dyDescent="0.25">
      <c r="A18" s="48">
        <v>11</v>
      </c>
      <c r="B18" s="67" t="s">
        <v>167</v>
      </c>
      <c r="C18" s="67"/>
      <c r="D18" s="12" t="s">
        <v>10</v>
      </c>
      <c r="E18" s="12" t="s">
        <v>15</v>
      </c>
      <c r="F18" s="12"/>
      <c r="G18" s="13"/>
      <c r="H18" s="46" t="s">
        <v>166</v>
      </c>
    </row>
    <row r="19" spans="1:8" ht="31.5" customHeight="1" x14ac:dyDescent="0.25">
      <c r="A19" s="48">
        <v>12</v>
      </c>
      <c r="B19" s="67" t="s">
        <v>19</v>
      </c>
      <c r="C19" s="67"/>
      <c r="D19" s="12" t="s">
        <v>10</v>
      </c>
      <c r="E19" s="12" t="s">
        <v>67</v>
      </c>
      <c r="F19" s="12"/>
      <c r="G19" s="13"/>
      <c r="H19" s="64" t="s">
        <v>168</v>
      </c>
    </row>
    <row r="20" spans="1:8" ht="30" customHeight="1" x14ac:dyDescent="0.25">
      <c r="A20" s="48">
        <v>13</v>
      </c>
      <c r="B20" s="62" t="s">
        <v>169</v>
      </c>
      <c r="C20" s="63"/>
      <c r="D20" s="12" t="s">
        <v>67</v>
      </c>
      <c r="E20" s="12" t="s">
        <v>10</v>
      </c>
      <c r="F20" s="12"/>
      <c r="G20" s="51"/>
      <c r="H20" s="65"/>
    </row>
    <row r="21" spans="1:8" ht="30" customHeight="1" x14ac:dyDescent="0.25">
      <c r="A21" s="48">
        <v>14</v>
      </c>
      <c r="B21" s="62" t="s">
        <v>63</v>
      </c>
      <c r="C21" s="63"/>
      <c r="D21" s="12" t="s">
        <v>10</v>
      </c>
      <c r="E21" s="12" t="s">
        <v>67</v>
      </c>
      <c r="F21" s="12"/>
      <c r="G21" s="51"/>
      <c r="H21" s="65"/>
    </row>
    <row r="22" spans="1:8" ht="39.75" customHeight="1" x14ac:dyDescent="0.25">
      <c r="A22" s="48">
        <v>15</v>
      </c>
      <c r="B22" s="62" t="s">
        <v>170</v>
      </c>
      <c r="C22" s="63"/>
      <c r="D22" s="12" t="s">
        <v>67</v>
      </c>
      <c r="E22" s="12" t="s">
        <v>10</v>
      </c>
      <c r="F22" s="12"/>
      <c r="G22" s="51"/>
      <c r="H22" s="65"/>
    </row>
    <row r="23" spans="1:8" ht="39.75" customHeight="1" x14ac:dyDescent="0.25">
      <c r="A23" s="48">
        <v>16</v>
      </c>
      <c r="B23" s="62" t="s">
        <v>65</v>
      </c>
      <c r="C23" s="63"/>
      <c r="D23" s="12" t="s">
        <v>10</v>
      </c>
      <c r="E23" s="12" t="s">
        <v>67</v>
      </c>
      <c r="F23" s="12"/>
      <c r="G23" s="51"/>
      <c r="H23" s="65"/>
    </row>
    <row r="24" spans="1:8" ht="15.75" customHeight="1" x14ac:dyDescent="0.25">
      <c r="A24" s="48">
        <v>17</v>
      </c>
      <c r="B24" s="62" t="s">
        <v>22</v>
      </c>
      <c r="C24" s="63"/>
      <c r="D24" s="12" t="s">
        <v>10</v>
      </c>
      <c r="E24" s="12" t="s">
        <v>67</v>
      </c>
      <c r="F24" s="12"/>
      <c r="G24" s="51"/>
      <c r="H24" s="65"/>
    </row>
    <row r="25" spans="1:8" ht="15.75" customHeight="1" x14ac:dyDescent="0.25">
      <c r="A25" s="48">
        <v>18</v>
      </c>
      <c r="B25" s="62" t="s">
        <v>23</v>
      </c>
      <c r="C25" s="63"/>
      <c r="D25" s="12" t="s">
        <v>10</v>
      </c>
      <c r="E25" s="12" t="s">
        <v>67</v>
      </c>
      <c r="F25" s="12"/>
      <c r="G25" s="51"/>
      <c r="H25" s="65"/>
    </row>
    <row r="26" spans="1:8" ht="15.75" customHeight="1" x14ac:dyDescent="0.25">
      <c r="A26" s="48">
        <v>19</v>
      </c>
      <c r="B26" s="62" t="s">
        <v>24</v>
      </c>
      <c r="C26" s="63"/>
      <c r="D26" s="12" t="s">
        <v>10</v>
      </c>
      <c r="E26" s="12" t="s">
        <v>67</v>
      </c>
      <c r="F26" s="12"/>
      <c r="G26" s="51"/>
      <c r="H26" s="65"/>
    </row>
    <row r="27" spans="1:8" ht="15.75" customHeight="1" x14ac:dyDescent="0.25">
      <c r="A27" s="48">
        <v>20</v>
      </c>
      <c r="B27" s="62" t="s">
        <v>25</v>
      </c>
      <c r="C27" s="63"/>
      <c r="D27" s="12" t="s">
        <v>10</v>
      </c>
      <c r="E27" s="12" t="s">
        <v>67</v>
      </c>
      <c r="F27" s="12"/>
      <c r="G27" s="51"/>
      <c r="H27" s="65"/>
    </row>
    <row r="28" spans="1:8" ht="15.75" customHeight="1" x14ac:dyDescent="0.25">
      <c r="A28" s="48">
        <v>21</v>
      </c>
      <c r="B28" s="62" t="s">
        <v>171</v>
      </c>
      <c r="C28" s="63"/>
      <c r="D28" s="12" t="s">
        <v>10</v>
      </c>
      <c r="E28" s="12" t="s">
        <v>67</v>
      </c>
      <c r="F28" s="12"/>
      <c r="G28" s="51"/>
      <c r="H28" s="65"/>
    </row>
    <row r="29" spans="1:8" ht="15.75" customHeight="1" x14ac:dyDescent="0.25">
      <c r="A29" s="48">
        <v>22</v>
      </c>
      <c r="B29" s="62" t="s">
        <v>172</v>
      </c>
      <c r="C29" s="63"/>
      <c r="D29" s="12" t="s">
        <v>10</v>
      </c>
      <c r="E29" s="12" t="s">
        <v>15</v>
      </c>
      <c r="F29" s="12"/>
      <c r="G29" s="51"/>
      <c r="H29" s="65"/>
    </row>
    <row r="30" spans="1:8" ht="15.75" customHeight="1" x14ac:dyDescent="0.25">
      <c r="A30" s="48">
        <v>23</v>
      </c>
      <c r="B30" s="62" t="s">
        <v>173</v>
      </c>
      <c r="C30" s="63"/>
      <c r="D30" s="12" t="s">
        <v>10</v>
      </c>
      <c r="E30" s="12" t="s">
        <v>15</v>
      </c>
      <c r="F30" s="12"/>
      <c r="G30" s="51"/>
      <c r="H30" s="65"/>
    </row>
    <row r="31" spans="1:8" ht="31.5" customHeight="1" x14ac:dyDescent="0.25">
      <c r="A31" s="48">
        <v>24</v>
      </c>
      <c r="B31" s="62" t="s">
        <v>174</v>
      </c>
      <c r="C31" s="63"/>
      <c r="D31" s="12" t="s">
        <v>10</v>
      </c>
      <c r="E31" s="12" t="s">
        <v>175</v>
      </c>
      <c r="F31" s="12"/>
      <c r="G31" s="51"/>
      <c r="H31" s="65"/>
    </row>
    <row r="32" spans="1:8" ht="15.75" customHeight="1" x14ac:dyDescent="0.25">
      <c r="A32" s="48">
        <v>25</v>
      </c>
      <c r="B32" s="62" t="s">
        <v>176</v>
      </c>
      <c r="C32" s="63"/>
      <c r="D32" s="12" t="s">
        <v>67</v>
      </c>
      <c r="E32" s="12" t="s">
        <v>10</v>
      </c>
      <c r="F32" s="12"/>
      <c r="G32" s="51"/>
      <c r="H32" s="65"/>
    </row>
    <row r="33" spans="1:8" ht="15.75" customHeight="1" x14ac:dyDescent="0.25">
      <c r="A33" s="48">
        <v>26</v>
      </c>
      <c r="B33" s="62" t="s">
        <v>177</v>
      </c>
      <c r="C33" s="63"/>
      <c r="D33" s="12" t="s">
        <v>67</v>
      </c>
      <c r="E33" s="12" t="s">
        <v>10</v>
      </c>
      <c r="F33" s="12"/>
      <c r="G33" s="51"/>
      <c r="H33" s="65"/>
    </row>
    <row r="34" spans="1:8" ht="15.75" customHeight="1" x14ac:dyDescent="0.25">
      <c r="A34" s="48">
        <v>27</v>
      </c>
      <c r="B34" s="62" t="s">
        <v>178</v>
      </c>
      <c r="C34" s="63"/>
      <c r="D34" s="12" t="s">
        <v>10</v>
      </c>
      <c r="E34" s="12" t="s">
        <v>67</v>
      </c>
      <c r="F34" s="12"/>
      <c r="G34" s="51"/>
      <c r="H34" s="101"/>
    </row>
    <row r="35" spans="1:8" ht="30" x14ac:dyDescent="0.25">
      <c r="A35" s="52">
        <v>28</v>
      </c>
      <c r="B35" s="102" t="s">
        <v>179</v>
      </c>
      <c r="C35" s="103"/>
      <c r="D35" s="12" t="s">
        <v>67</v>
      </c>
      <c r="E35" s="38" t="s">
        <v>87</v>
      </c>
      <c r="F35" s="36">
        <v>1</v>
      </c>
      <c r="G35" s="32" t="s">
        <v>127</v>
      </c>
      <c r="H35" s="46"/>
    </row>
    <row r="36" spans="1:8" ht="30" x14ac:dyDescent="0.25">
      <c r="A36" s="53">
        <v>28.1</v>
      </c>
      <c r="B36" s="62" t="s">
        <v>180</v>
      </c>
      <c r="C36" s="63"/>
      <c r="D36" s="12" t="s">
        <v>67</v>
      </c>
      <c r="E36" s="38" t="s">
        <v>181</v>
      </c>
      <c r="F36" s="36">
        <v>1</v>
      </c>
      <c r="G36" s="32" t="s">
        <v>127</v>
      </c>
      <c r="H36" s="46"/>
    </row>
    <row r="37" spans="1:8" ht="30" x14ac:dyDescent="0.25">
      <c r="A37" s="54">
        <v>29</v>
      </c>
      <c r="B37" s="102" t="s">
        <v>182</v>
      </c>
      <c r="C37" s="103"/>
      <c r="D37" s="12" t="s">
        <v>67</v>
      </c>
      <c r="E37" s="38" t="s">
        <v>87</v>
      </c>
      <c r="F37" s="36">
        <v>1</v>
      </c>
      <c r="G37" s="32" t="s">
        <v>127</v>
      </c>
      <c r="H37" s="46"/>
    </row>
    <row r="38" spans="1:8" ht="30" x14ac:dyDescent="0.25">
      <c r="A38" s="53">
        <v>29.1</v>
      </c>
      <c r="B38" s="62" t="s">
        <v>184</v>
      </c>
      <c r="C38" s="63"/>
      <c r="D38" s="12" t="s">
        <v>67</v>
      </c>
      <c r="E38" s="38" t="s">
        <v>185</v>
      </c>
      <c r="F38" s="36">
        <v>1</v>
      </c>
      <c r="G38" s="32" t="s">
        <v>127</v>
      </c>
      <c r="H38" s="46"/>
    </row>
    <row r="39" spans="1:8" ht="52.5" customHeight="1" x14ac:dyDescent="0.25">
      <c r="A39" s="48"/>
      <c r="B39" s="59" t="s">
        <v>186</v>
      </c>
      <c r="C39" s="59"/>
      <c r="D39" s="59"/>
      <c r="E39" s="59"/>
      <c r="F39" s="59"/>
      <c r="G39" s="59"/>
      <c r="H39" s="59"/>
    </row>
  </sheetData>
  <mergeCells count="42">
    <mergeCell ref="A2:H2"/>
    <mergeCell ref="A5:A6"/>
    <mergeCell ref="B5:C6"/>
    <mergeCell ref="D5:E5"/>
    <mergeCell ref="F5:F6"/>
    <mergeCell ref="G5:G6"/>
    <mergeCell ref="H5:H6"/>
    <mergeCell ref="B15:C15"/>
    <mergeCell ref="B16:C16"/>
    <mergeCell ref="B7:C7"/>
    <mergeCell ref="D7:E7"/>
    <mergeCell ref="B10:C10"/>
    <mergeCell ref="B11:C11"/>
    <mergeCell ref="B12:C12"/>
    <mergeCell ref="B28:C28"/>
    <mergeCell ref="B17:C17"/>
    <mergeCell ref="B18:C18"/>
    <mergeCell ref="B19:C19"/>
    <mergeCell ref="B20:C20"/>
    <mergeCell ref="B21:C21"/>
    <mergeCell ref="B22:C22"/>
    <mergeCell ref="B39:H39"/>
    <mergeCell ref="B35:C35"/>
    <mergeCell ref="B36:C36"/>
    <mergeCell ref="B37:C37"/>
    <mergeCell ref="B38:C38"/>
    <mergeCell ref="B3:H3"/>
    <mergeCell ref="A8:A9"/>
    <mergeCell ref="B13:C13"/>
    <mergeCell ref="B14:C14"/>
    <mergeCell ref="H19:H34"/>
    <mergeCell ref="B29:C29"/>
    <mergeCell ref="B30:C30"/>
    <mergeCell ref="B31:C31"/>
    <mergeCell ref="B32:C32"/>
    <mergeCell ref="B33:C33"/>
    <mergeCell ref="B34:C34"/>
    <mergeCell ref="B23:C23"/>
    <mergeCell ref="B24:C24"/>
    <mergeCell ref="B25:C25"/>
    <mergeCell ref="B26:C26"/>
    <mergeCell ref="B27:C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27FB-C04B-489A-B9AA-C0A51985DD2A}">
  <dimension ref="A2:H69"/>
  <sheetViews>
    <sheetView workbookViewId="0">
      <selection sqref="A1:XFD1048576"/>
    </sheetView>
  </sheetViews>
  <sheetFormatPr defaultRowHeight="15" x14ac:dyDescent="0.25"/>
  <cols>
    <col min="2" max="2" width="14.42578125" customWidth="1"/>
    <col min="3" max="3" width="37" customWidth="1"/>
    <col min="4" max="4" width="13.28515625" customWidth="1"/>
    <col min="5" max="6" width="16.140625" customWidth="1"/>
    <col min="7" max="7" width="16" customWidth="1"/>
    <col min="8" max="8" width="23.85546875" customWidth="1"/>
  </cols>
  <sheetData>
    <row r="2" spans="1:8" ht="19.5" x14ac:dyDescent="0.3">
      <c r="A2" s="69" t="s">
        <v>141</v>
      </c>
      <c r="B2" s="69"/>
      <c r="C2" s="69"/>
      <c r="D2" s="69"/>
      <c r="E2" s="69"/>
      <c r="F2" s="69"/>
      <c r="G2" s="69"/>
      <c r="H2" s="69"/>
    </row>
    <row r="3" spans="1:8" ht="45.75" customHeight="1" x14ac:dyDescent="0.3">
      <c r="A3" s="47"/>
      <c r="B3" s="70" t="s">
        <v>142</v>
      </c>
      <c r="C3" s="69"/>
      <c r="D3" s="69"/>
      <c r="E3" s="69"/>
      <c r="F3" s="69"/>
      <c r="G3" s="69"/>
      <c r="H3" s="69"/>
    </row>
    <row r="5" spans="1:8" ht="15.75" x14ac:dyDescent="0.25">
      <c r="A5" s="71" t="s">
        <v>0</v>
      </c>
      <c r="B5" s="72" t="s">
        <v>1</v>
      </c>
      <c r="C5" s="72"/>
      <c r="D5" s="73" t="s">
        <v>2</v>
      </c>
      <c r="E5" s="73"/>
      <c r="F5" s="74" t="s">
        <v>3</v>
      </c>
      <c r="G5" s="73" t="s">
        <v>52</v>
      </c>
      <c r="H5" s="74" t="s">
        <v>4</v>
      </c>
    </row>
    <row r="6" spans="1:8" ht="15.75" x14ac:dyDescent="0.25">
      <c r="A6" s="71"/>
      <c r="B6" s="72"/>
      <c r="C6" s="72"/>
      <c r="D6" s="10" t="s">
        <v>5</v>
      </c>
      <c r="E6" s="10" t="s">
        <v>6</v>
      </c>
      <c r="F6" s="75"/>
      <c r="G6" s="73"/>
      <c r="H6" s="75"/>
    </row>
    <row r="7" spans="1:8" ht="31.5" x14ac:dyDescent="0.25">
      <c r="A7" s="48">
        <v>1</v>
      </c>
      <c r="B7" s="67" t="s">
        <v>143</v>
      </c>
      <c r="C7" s="67"/>
      <c r="D7" s="68" t="s">
        <v>8</v>
      </c>
      <c r="E7" s="68"/>
      <c r="F7" s="49" t="s">
        <v>144</v>
      </c>
      <c r="G7" s="43" t="s">
        <v>145</v>
      </c>
      <c r="H7" s="43" t="s">
        <v>146</v>
      </c>
    </row>
    <row r="8" spans="1:8" ht="110.25" x14ac:dyDescent="0.25">
      <c r="A8" s="100">
        <v>2</v>
      </c>
      <c r="B8" s="50" t="s">
        <v>147</v>
      </c>
      <c r="C8" s="50" t="s">
        <v>148</v>
      </c>
      <c r="D8" s="12" t="s">
        <v>10</v>
      </c>
      <c r="E8" s="12" t="s">
        <v>116</v>
      </c>
      <c r="F8" s="49">
        <v>1</v>
      </c>
      <c r="G8" s="15" t="s">
        <v>145</v>
      </c>
      <c r="H8" s="43" t="s">
        <v>146</v>
      </c>
    </row>
    <row r="9" spans="1:8" ht="78.75" x14ac:dyDescent="0.25">
      <c r="A9" s="100"/>
      <c r="B9" s="50" t="s">
        <v>149</v>
      </c>
      <c r="C9" s="50" t="s">
        <v>150</v>
      </c>
      <c r="D9" s="12" t="s">
        <v>10</v>
      </c>
      <c r="E9" s="12" t="s">
        <v>116</v>
      </c>
      <c r="F9" s="49">
        <v>1</v>
      </c>
      <c r="G9" s="15" t="s">
        <v>145</v>
      </c>
      <c r="H9" s="43" t="s">
        <v>146</v>
      </c>
    </row>
    <row r="10" spans="1:8" ht="75" customHeight="1" x14ac:dyDescent="0.25">
      <c r="A10" s="48">
        <v>3</v>
      </c>
      <c r="B10" s="104" t="s">
        <v>151</v>
      </c>
      <c r="C10" s="104"/>
      <c r="D10" s="12" t="s">
        <v>10</v>
      </c>
      <c r="E10" s="12" t="s">
        <v>15</v>
      </c>
      <c r="F10" s="49">
        <v>1</v>
      </c>
      <c r="G10" s="15" t="s">
        <v>152</v>
      </c>
      <c r="H10" s="46"/>
    </row>
    <row r="11" spans="1:8" ht="31.5" x14ac:dyDescent="0.25">
      <c r="A11" s="48">
        <v>4</v>
      </c>
      <c r="B11" s="104" t="s">
        <v>153</v>
      </c>
      <c r="C11" s="104"/>
      <c r="D11" s="12" t="s">
        <v>10</v>
      </c>
      <c r="E11" s="12" t="s">
        <v>116</v>
      </c>
      <c r="F11" s="49">
        <v>1</v>
      </c>
      <c r="G11" s="15" t="s">
        <v>154</v>
      </c>
      <c r="H11" s="46"/>
    </row>
    <row r="12" spans="1:8" ht="31.5" x14ac:dyDescent="0.25">
      <c r="A12" s="48">
        <v>5</v>
      </c>
      <c r="B12" s="67" t="s">
        <v>155</v>
      </c>
      <c r="C12" s="67"/>
      <c r="D12" s="12" t="s">
        <v>10</v>
      </c>
      <c r="E12" s="12" t="s">
        <v>67</v>
      </c>
      <c r="F12" s="49">
        <v>1</v>
      </c>
      <c r="G12" s="15" t="s">
        <v>145</v>
      </c>
      <c r="H12" s="43" t="s">
        <v>146</v>
      </c>
    </row>
    <row r="13" spans="1:8" ht="31.5" x14ac:dyDescent="0.25">
      <c r="A13" s="48">
        <v>6</v>
      </c>
      <c r="B13" s="67" t="s">
        <v>156</v>
      </c>
      <c r="C13" s="67"/>
      <c r="D13" s="12" t="s">
        <v>10</v>
      </c>
      <c r="E13" s="12" t="s">
        <v>67</v>
      </c>
      <c r="F13" s="49">
        <v>1</v>
      </c>
      <c r="G13" s="15" t="s">
        <v>157</v>
      </c>
      <c r="H13" s="46"/>
    </row>
    <row r="14" spans="1:8" ht="15.75" x14ac:dyDescent="0.25">
      <c r="A14" s="48">
        <v>7</v>
      </c>
      <c r="B14" s="67" t="s">
        <v>158</v>
      </c>
      <c r="C14" s="67"/>
      <c r="D14" s="12" t="s">
        <v>67</v>
      </c>
      <c r="E14" s="12" t="s">
        <v>10</v>
      </c>
      <c r="F14" s="49">
        <v>1</v>
      </c>
      <c r="G14" s="32" t="s">
        <v>159</v>
      </c>
      <c r="H14" s="46"/>
    </row>
    <row r="15" spans="1:8" ht="31.5" x14ac:dyDescent="0.25">
      <c r="A15" s="48">
        <v>8</v>
      </c>
      <c r="B15" s="67" t="s">
        <v>160</v>
      </c>
      <c r="C15" s="67"/>
      <c r="D15" s="12" t="s">
        <v>10</v>
      </c>
      <c r="E15" s="12" t="s">
        <v>67</v>
      </c>
      <c r="F15" s="49">
        <v>1</v>
      </c>
      <c r="G15" s="15" t="s">
        <v>161</v>
      </c>
      <c r="H15" s="46"/>
    </row>
    <row r="16" spans="1:8" ht="15.75" x14ac:dyDescent="0.25">
      <c r="A16" s="48">
        <v>9</v>
      </c>
      <c r="B16" s="62" t="s">
        <v>162</v>
      </c>
      <c r="C16" s="63"/>
      <c r="D16" s="12" t="s">
        <v>163</v>
      </c>
      <c r="E16" s="12" t="s">
        <v>164</v>
      </c>
      <c r="F16" s="36">
        <v>1</v>
      </c>
      <c r="G16" s="32" t="s">
        <v>165</v>
      </c>
      <c r="H16" s="46"/>
    </row>
    <row r="17" spans="1:8" ht="31.5" x14ac:dyDescent="0.25">
      <c r="A17" s="48">
        <v>10</v>
      </c>
      <c r="B17" s="67" t="s">
        <v>14</v>
      </c>
      <c r="C17" s="67"/>
      <c r="D17" s="12" t="s">
        <v>10</v>
      </c>
      <c r="E17" s="12" t="s">
        <v>15</v>
      </c>
      <c r="F17" s="12"/>
      <c r="G17" s="15"/>
      <c r="H17" s="45" t="s">
        <v>166</v>
      </c>
    </row>
    <row r="18" spans="1:8" ht="31.5" x14ac:dyDescent="0.25">
      <c r="A18" s="48">
        <v>11</v>
      </c>
      <c r="B18" s="67" t="s">
        <v>167</v>
      </c>
      <c r="C18" s="67"/>
      <c r="D18" s="12" t="s">
        <v>10</v>
      </c>
      <c r="E18" s="12" t="s">
        <v>15</v>
      </c>
      <c r="F18" s="12"/>
      <c r="G18" s="13"/>
      <c r="H18" s="46" t="s">
        <v>166</v>
      </c>
    </row>
    <row r="19" spans="1:8" ht="31.5" customHeight="1" x14ac:dyDescent="0.25">
      <c r="A19" s="48">
        <v>12</v>
      </c>
      <c r="B19" s="67" t="s">
        <v>19</v>
      </c>
      <c r="C19" s="67"/>
      <c r="D19" s="12" t="s">
        <v>10</v>
      </c>
      <c r="E19" s="12" t="s">
        <v>67</v>
      </c>
      <c r="F19" s="12"/>
      <c r="G19" s="13"/>
      <c r="H19" s="64" t="s">
        <v>168</v>
      </c>
    </row>
    <row r="20" spans="1:8" ht="30" customHeight="1" x14ac:dyDescent="0.25">
      <c r="A20" s="48">
        <v>13</v>
      </c>
      <c r="B20" s="62" t="s">
        <v>169</v>
      </c>
      <c r="C20" s="63"/>
      <c r="D20" s="12" t="s">
        <v>67</v>
      </c>
      <c r="E20" s="12" t="s">
        <v>10</v>
      </c>
      <c r="F20" s="12"/>
      <c r="G20" s="51"/>
      <c r="H20" s="65"/>
    </row>
    <row r="21" spans="1:8" ht="30" customHeight="1" x14ac:dyDescent="0.25">
      <c r="A21" s="48">
        <v>14</v>
      </c>
      <c r="B21" s="62" t="s">
        <v>63</v>
      </c>
      <c r="C21" s="63"/>
      <c r="D21" s="12" t="s">
        <v>10</v>
      </c>
      <c r="E21" s="12" t="s">
        <v>67</v>
      </c>
      <c r="F21" s="12"/>
      <c r="G21" s="51"/>
      <c r="H21" s="65"/>
    </row>
    <row r="22" spans="1:8" ht="39.75" customHeight="1" x14ac:dyDescent="0.25">
      <c r="A22" s="48">
        <v>15</v>
      </c>
      <c r="B22" s="62" t="s">
        <v>170</v>
      </c>
      <c r="C22" s="63"/>
      <c r="D22" s="12" t="s">
        <v>67</v>
      </c>
      <c r="E22" s="12" t="s">
        <v>10</v>
      </c>
      <c r="F22" s="12"/>
      <c r="G22" s="51"/>
      <c r="H22" s="65"/>
    </row>
    <row r="23" spans="1:8" ht="39.75" customHeight="1" x14ac:dyDescent="0.25">
      <c r="A23" s="48">
        <v>16</v>
      </c>
      <c r="B23" s="62" t="s">
        <v>65</v>
      </c>
      <c r="C23" s="63"/>
      <c r="D23" s="12" t="s">
        <v>10</v>
      </c>
      <c r="E23" s="12" t="s">
        <v>67</v>
      </c>
      <c r="F23" s="12"/>
      <c r="G23" s="51"/>
      <c r="H23" s="65"/>
    </row>
    <row r="24" spans="1:8" ht="15.75" customHeight="1" x14ac:dyDescent="0.25">
      <c r="A24" s="48">
        <v>17</v>
      </c>
      <c r="B24" s="62" t="s">
        <v>22</v>
      </c>
      <c r="C24" s="63"/>
      <c r="D24" s="12" t="s">
        <v>10</v>
      </c>
      <c r="E24" s="12" t="s">
        <v>67</v>
      </c>
      <c r="F24" s="12"/>
      <c r="G24" s="51"/>
      <c r="H24" s="65"/>
    </row>
    <row r="25" spans="1:8" ht="15.75" customHeight="1" x14ac:dyDescent="0.25">
      <c r="A25" s="48">
        <v>18</v>
      </c>
      <c r="B25" s="62" t="s">
        <v>23</v>
      </c>
      <c r="C25" s="63"/>
      <c r="D25" s="12" t="s">
        <v>10</v>
      </c>
      <c r="E25" s="12" t="s">
        <v>67</v>
      </c>
      <c r="F25" s="12"/>
      <c r="G25" s="51"/>
      <c r="H25" s="65"/>
    </row>
    <row r="26" spans="1:8" ht="15.75" customHeight="1" x14ac:dyDescent="0.25">
      <c r="A26" s="48">
        <v>19</v>
      </c>
      <c r="B26" s="62" t="s">
        <v>24</v>
      </c>
      <c r="C26" s="63"/>
      <c r="D26" s="12" t="s">
        <v>10</v>
      </c>
      <c r="E26" s="12" t="s">
        <v>67</v>
      </c>
      <c r="F26" s="12"/>
      <c r="G26" s="51"/>
      <c r="H26" s="65"/>
    </row>
    <row r="27" spans="1:8" ht="15.75" customHeight="1" x14ac:dyDescent="0.25">
      <c r="A27" s="48">
        <v>20</v>
      </c>
      <c r="B27" s="62" t="s">
        <v>25</v>
      </c>
      <c r="C27" s="63"/>
      <c r="D27" s="12" t="s">
        <v>10</v>
      </c>
      <c r="E27" s="12" t="s">
        <v>67</v>
      </c>
      <c r="F27" s="12"/>
      <c r="G27" s="51"/>
      <c r="H27" s="65"/>
    </row>
    <row r="28" spans="1:8" ht="15.75" customHeight="1" x14ac:dyDescent="0.25">
      <c r="A28" s="48">
        <v>21</v>
      </c>
      <c r="B28" s="62" t="s">
        <v>171</v>
      </c>
      <c r="C28" s="63"/>
      <c r="D28" s="12" t="s">
        <v>10</v>
      </c>
      <c r="E28" s="12" t="s">
        <v>67</v>
      </c>
      <c r="F28" s="12"/>
      <c r="G28" s="51"/>
      <c r="H28" s="65"/>
    </row>
    <row r="29" spans="1:8" ht="15.75" customHeight="1" x14ac:dyDescent="0.25">
      <c r="A29" s="48">
        <v>22</v>
      </c>
      <c r="B29" s="62" t="s">
        <v>172</v>
      </c>
      <c r="C29" s="63"/>
      <c r="D29" s="12" t="s">
        <v>10</v>
      </c>
      <c r="E29" s="12" t="s">
        <v>15</v>
      </c>
      <c r="F29" s="12"/>
      <c r="G29" s="51"/>
      <c r="H29" s="65"/>
    </row>
    <row r="30" spans="1:8" ht="15.75" customHeight="1" x14ac:dyDescent="0.25">
      <c r="A30" s="48">
        <v>23</v>
      </c>
      <c r="B30" s="62" t="s">
        <v>173</v>
      </c>
      <c r="C30" s="63"/>
      <c r="D30" s="12" t="s">
        <v>10</v>
      </c>
      <c r="E30" s="12" t="s">
        <v>15</v>
      </c>
      <c r="F30" s="12"/>
      <c r="G30" s="51"/>
      <c r="H30" s="65"/>
    </row>
    <row r="31" spans="1:8" ht="31.5" customHeight="1" x14ac:dyDescent="0.25">
      <c r="A31" s="48">
        <v>24</v>
      </c>
      <c r="B31" s="62" t="s">
        <v>174</v>
      </c>
      <c r="C31" s="63"/>
      <c r="D31" s="12" t="s">
        <v>10</v>
      </c>
      <c r="E31" s="12" t="s">
        <v>175</v>
      </c>
      <c r="F31" s="12"/>
      <c r="G31" s="51"/>
      <c r="H31" s="65"/>
    </row>
    <row r="32" spans="1:8" ht="15.75" customHeight="1" x14ac:dyDescent="0.25">
      <c r="A32" s="48">
        <v>25</v>
      </c>
      <c r="B32" s="62" t="s">
        <v>176</v>
      </c>
      <c r="C32" s="63"/>
      <c r="D32" s="12" t="s">
        <v>67</v>
      </c>
      <c r="E32" s="12" t="s">
        <v>10</v>
      </c>
      <c r="F32" s="12"/>
      <c r="G32" s="51"/>
      <c r="H32" s="65"/>
    </row>
    <row r="33" spans="1:8" ht="15.75" customHeight="1" x14ac:dyDescent="0.25">
      <c r="A33" s="48">
        <v>26</v>
      </c>
      <c r="B33" s="62" t="s">
        <v>177</v>
      </c>
      <c r="C33" s="63"/>
      <c r="D33" s="12" t="s">
        <v>67</v>
      </c>
      <c r="E33" s="12" t="s">
        <v>10</v>
      </c>
      <c r="F33" s="12"/>
      <c r="G33" s="51"/>
      <c r="H33" s="65"/>
    </row>
    <row r="34" spans="1:8" ht="15.75" customHeight="1" x14ac:dyDescent="0.25">
      <c r="A34" s="48">
        <v>27</v>
      </c>
      <c r="B34" s="62" t="s">
        <v>178</v>
      </c>
      <c r="C34" s="63"/>
      <c r="D34" s="12" t="s">
        <v>10</v>
      </c>
      <c r="E34" s="12" t="s">
        <v>67</v>
      </c>
      <c r="F34" s="12"/>
      <c r="G34" s="51"/>
      <c r="H34" s="101"/>
    </row>
    <row r="35" spans="1:8" ht="15.75" x14ac:dyDescent="0.25">
      <c r="A35" s="52">
        <v>28</v>
      </c>
      <c r="B35" s="102" t="s">
        <v>179</v>
      </c>
      <c r="C35" s="103"/>
      <c r="D35" s="12" t="s">
        <v>67</v>
      </c>
      <c r="E35" s="38" t="s">
        <v>87</v>
      </c>
      <c r="F35" s="36">
        <v>1</v>
      </c>
      <c r="G35" s="32" t="s">
        <v>165</v>
      </c>
      <c r="H35" s="46"/>
    </row>
    <row r="36" spans="1:8" ht="30" x14ac:dyDescent="0.25">
      <c r="A36" s="53">
        <v>28.1</v>
      </c>
      <c r="B36" s="62" t="s">
        <v>180</v>
      </c>
      <c r="C36" s="63"/>
      <c r="D36" s="12" t="s">
        <v>67</v>
      </c>
      <c r="E36" s="38" t="s">
        <v>181</v>
      </c>
      <c r="F36" s="36">
        <v>1</v>
      </c>
      <c r="G36" s="32" t="s">
        <v>165</v>
      </c>
      <c r="H36" s="46"/>
    </row>
    <row r="37" spans="1:8" ht="15.75" x14ac:dyDescent="0.25">
      <c r="A37" s="54">
        <v>29</v>
      </c>
      <c r="B37" s="102" t="s">
        <v>182</v>
      </c>
      <c r="C37" s="103"/>
      <c r="D37" s="12" t="s">
        <v>67</v>
      </c>
      <c r="E37" s="38" t="s">
        <v>87</v>
      </c>
      <c r="F37" s="36">
        <v>1</v>
      </c>
      <c r="G37" s="32" t="s">
        <v>183</v>
      </c>
      <c r="H37" s="46"/>
    </row>
    <row r="38" spans="1:8" ht="15.75" x14ac:dyDescent="0.25">
      <c r="A38" s="53">
        <v>29.1</v>
      </c>
      <c r="B38" s="62" t="s">
        <v>184</v>
      </c>
      <c r="C38" s="63"/>
      <c r="D38" s="12" t="s">
        <v>67</v>
      </c>
      <c r="E38" s="38" t="s">
        <v>185</v>
      </c>
      <c r="F38" s="36">
        <v>1</v>
      </c>
      <c r="G38" s="32" t="s">
        <v>183</v>
      </c>
      <c r="H38" s="46"/>
    </row>
    <row r="39" spans="1:8" ht="52.5" customHeight="1" x14ac:dyDescent="0.25">
      <c r="A39" s="48"/>
      <c r="B39" s="59" t="s">
        <v>186</v>
      </c>
      <c r="C39" s="59"/>
      <c r="D39" s="59"/>
      <c r="E39" s="59"/>
      <c r="F39" s="59"/>
      <c r="G39" s="59"/>
      <c r="H39" s="59"/>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sheetData>
  <mergeCells count="42">
    <mergeCell ref="A2:H2"/>
    <mergeCell ref="B3:H3"/>
    <mergeCell ref="A5:A6"/>
    <mergeCell ref="B5:C6"/>
    <mergeCell ref="D5:E5"/>
    <mergeCell ref="F5:F6"/>
    <mergeCell ref="G5:G6"/>
    <mergeCell ref="H5:H6"/>
    <mergeCell ref="B18:C18"/>
    <mergeCell ref="B7:C7"/>
    <mergeCell ref="D7:E7"/>
    <mergeCell ref="A8:A9"/>
    <mergeCell ref="B10:C10"/>
    <mergeCell ref="B11:C11"/>
    <mergeCell ref="B12:C12"/>
    <mergeCell ref="B13:C13"/>
    <mergeCell ref="B14:C14"/>
    <mergeCell ref="B15:C15"/>
    <mergeCell ref="B16:C16"/>
    <mergeCell ref="B17:C17"/>
    <mergeCell ref="B19:C19"/>
    <mergeCell ref="H19:H34"/>
    <mergeCell ref="B20:C20"/>
    <mergeCell ref="B21:C21"/>
    <mergeCell ref="B22:C22"/>
    <mergeCell ref="B23:C23"/>
    <mergeCell ref="B24:C24"/>
    <mergeCell ref="B25:C25"/>
    <mergeCell ref="B26:C26"/>
    <mergeCell ref="B27:C27"/>
    <mergeCell ref="B39:H39"/>
    <mergeCell ref="B28:C28"/>
    <mergeCell ref="B29:C29"/>
    <mergeCell ref="B30:C30"/>
    <mergeCell ref="B31:C31"/>
    <mergeCell ref="B32:C32"/>
    <mergeCell ref="B33:C33"/>
    <mergeCell ref="B34:C34"/>
    <mergeCell ref="B35:C35"/>
    <mergeCell ref="B36:C36"/>
    <mergeCell ref="B37:C37"/>
    <mergeCell ref="B38:C3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D6AA4-413E-414E-A75F-A1C3F12A0180}">
  <dimension ref="A2:H69"/>
  <sheetViews>
    <sheetView topLeftCell="A13" workbookViewId="0">
      <selection activeCell="A16" sqref="A16:XFD16"/>
    </sheetView>
  </sheetViews>
  <sheetFormatPr defaultRowHeight="15" x14ac:dyDescent="0.25"/>
  <cols>
    <col min="2" max="2" width="14.42578125" customWidth="1"/>
    <col min="3" max="3" width="37" customWidth="1"/>
    <col min="4" max="4" width="13.28515625" customWidth="1"/>
    <col min="5" max="6" width="16.140625" customWidth="1"/>
    <col min="7" max="7" width="16" customWidth="1"/>
    <col min="8" max="8" width="23.85546875" customWidth="1"/>
  </cols>
  <sheetData>
    <row r="2" spans="1:8" ht="19.5" x14ac:dyDescent="0.3">
      <c r="A2" s="69" t="s">
        <v>141</v>
      </c>
      <c r="B2" s="69"/>
      <c r="C2" s="69"/>
      <c r="D2" s="69"/>
      <c r="E2" s="69"/>
      <c r="F2" s="69"/>
      <c r="G2" s="69"/>
      <c r="H2" s="69"/>
    </row>
    <row r="3" spans="1:8" ht="45.75" customHeight="1" x14ac:dyDescent="0.3">
      <c r="A3" s="47"/>
      <c r="B3" s="70" t="s">
        <v>193</v>
      </c>
      <c r="C3" s="69"/>
      <c r="D3" s="69"/>
      <c r="E3" s="69"/>
      <c r="F3" s="69"/>
      <c r="G3" s="69"/>
      <c r="H3" s="69"/>
    </row>
    <row r="5" spans="1:8" ht="15.75" x14ac:dyDescent="0.25">
      <c r="A5" s="71" t="s">
        <v>0</v>
      </c>
      <c r="B5" s="72" t="s">
        <v>1</v>
      </c>
      <c r="C5" s="72"/>
      <c r="D5" s="73" t="s">
        <v>2</v>
      </c>
      <c r="E5" s="73"/>
      <c r="F5" s="74" t="s">
        <v>3</v>
      </c>
      <c r="G5" s="73" t="s">
        <v>52</v>
      </c>
      <c r="H5" s="74" t="s">
        <v>4</v>
      </c>
    </row>
    <row r="6" spans="1:8" ht="15.75" x14ac:dyDescent="0.25">
      <c r="A6" s="71"/>
      <c r="B6" s="72"/>
      <c r="C6" s="72"/>
      <c r="D6" s="10" t="s">
        <v>5</v>
      </c>
      <c r="E6" s="10" t="s">
        <v>6</v>
      </c>
      <c r="F6" s="75"/>
      <c r="G6" s="73"/>
      <c r="H6" s="75"/>
    </row>
    <row r="7" spans="1:8" ht="31.5" x14ac:dyDescent="0.25">
      <c r="A7" s="48">
        <v>1</v>
      </c>
      <c r="B7" s="67" t="s">
        <v>143</v>
      </c>
      <c r="C7" s="67"/>
      <c r="D7" s="68" t="s">
        <v>8</v>
      </c>
      <c r="E7" s="68"/>
      <c r="F7" s="49" t="s">
        <v>194</v>
      </c>
      <c r="G7" s="43" t="s">
        <v>145</v>
      </c>
      <c r="H7" s="43" t="s">
        <v>146</v>
      </c>
    </row>
    <row r="8" spans="1:8" ht="110.25" x14ac:dyDescent="0.25">
      <c r="A8" s="100">
        <v>2</v>
      </c>
      <c r="B8" s="50" t="s">
        <v>147</v>
      </c>
      <c r="C8" s="50" t="s">
        <v>148</v>
      </c>
      <c r="D8" s="12" t="s">
        <v>10</v>
      </c>
      <c r="E8" s="12" t="s">
        <v>116</v>
      </c>
      <c r="F8" s="49">
        <v>1</v>
      </c>
      <c r="G8" s="15" t="s">
        <v>145</v>
      </c>
      <c r="H8" s="43" t="s">
        <v>146</v>
      </c>
    </row>
    <row r="9" spans="1:8" ht="78.75" x14ac:dyDescent="0.25">
      <c r="A9" s="100"/>
      <c r="B9" s="50" t="s">
        <v>149</v>
      </c>
      <c r="C9" s="50" t="s">
        <v>150</v>
      </c>
      <c r="D9" s="12" t="s">
        <v>10</v>
      </c>
      <c r="E9" s="12" t="s">
        <v>116</v>
      </c>
      <c r="F9" s="49">
        <v>1</v>
      </c>
      <c r="G9" s="15" t="s">
        <v>145</v>
      </c>
      <c r="H9" s="43" t="s">
        <v>146</v>
      </c>
    </row>
    <row r="10" spans="1:8" ht="75" customHeight="1" x14ac:dyDescent="0.25">
      <c r="A10" s="48">
        <v>3</v>
      </c>
      <c r="B10" s="104" t="s">
        <v>151</v>
      </c>
      <c r="C10" s="104"/>
      <c r="D10" s="12" t="s">
        <v>10</v>
      </c>
      <c r="E10" s="12" t="s">
        <v>15</v>
      </c>
      <c r="F10" s="49">
        <v>1</v>
      </c>
      <c r="G10" s="15" t="s">
        <v>152</v>
      </c>
      <c r="H10" s="46"/>
    </row>
    <row r="11" spans="1:8" ht="31.5" x14ac:dyDescent="0.25">
      <c r="A11" s="48">
        <v>4</v>
      </c>
      <c r="B11" s="104" t="s">
        <v>153</v>
      </c>
      <c r="C11" s="104"/>
      <c r="D11" s="12" t="s">
        <v>10</v>
      </c>
      <c r="E11" s="12" t="s">
        <v>116</v>
      </c>
      <c r="F11" s="49">
        <v>1</v>
      </c>
      <c r="G11" s="15" t="s">
        <v>154</v>
      </c>
      <c r="H11" s="46"/>
    </row>
    <row r="12" spans="1:8" ht="31.5" x14ac:dyDescent="0.25">
      <c r="A12" s="48">
        <v>5</v>
      </c>
      <c r="B12" s="67" t="s">
        <v>155</v>
      </c>
      <c r="C12" s="67"/>
      <c r="D12" s="12" t="s">
        <v>10</v>
      </c>
      <c r="E12" s="12" t="s">
        <v>67</v>
      </c>
      <c r="F12" s="49">
        <v>1</v>
      </c>
      <c r="G12" s="15" t="s">
        <v>145</v>
      </c>
      <c r="H12" s="43" t="s">
        <v>146</v>
      </c>
    </row>
    <row r="13" spans="1:8" ht="31.5" x14ac:dyDescent="0.25">
      <c r="A13" s="48">
        <v>6</v>
      </c>
      <c r="B13" s="67" t="s">
        <v>156</v>
      </c>
      <c r="C13" s="67"/>
      <c r="D13" s="12" t="s">
        <v>10</v>
      </c>
      <c r="E13" s="12" t="s">
        <v>67</v>
      </c>
      <c r="F13" s="49">
        <v>1</v>
      </c>
      <c r="G13" s="15" t="s">
        <v>157</v>
      </c>
      <c r="H13" s="46"/>
    </row>
    <row r="14" spans="1:8" ht="15.75" x14ac:dyDescent="0.25">
      <c r="A14" s="48">
        <v>7</v>
      </c>
      <c r="B14" s="67" t="s">
        <v>158</v>
      </c>
      <c r="C14" s="67"/>
      <c r="D14" s="12" t="s">
        <v>67</v>
      </c>
      <c r="E14" s="12" t="s">
        <v>10</v>
      </c>
      <c r="F14" s="49">
        <v>1</v>
      </c>
      <c r="G14" s="32" t="s">
        <v>159</v>
      </c>
      <c r="H14" s="46"/>
    </row>
    <row r="15" spans="1:8" ht="31.5" x14ac:dyDescent="0.25">
      <c r="A15" s="48">
        <v>8</v>
      </c>
      <c r="B15" s="67" t="s">
        <v>160</v>
      </c>
      <c r="C15" s="67"/>
      <c r="D15" s="12" t="s">
        <v>10</v>
      </c>
      <c r="E15" s="12" t="s">
        <v>67</v>
      </c>
      <c r="F15" s="49">
        <v>1</v>
      </c>
      <c r="G15" s="15" t="s">
        <v>161</v>
      </c>
      <c r="H15" s="46"/>
    </row>
    <row r="16" spans="1:8" s="105" customFormat="1" ht="15.75" x14ac:dyDescent="0.25">
      <c r="A16" s="48">
        <v>9</v>
      </c>
      <c r="B16" s="62" t="s">
        <v>162</v>
      </c>
      <c r="C16" s="63"/>
      <c r="D16" s="12" t="s">
        <v>163</v>
      </c>
      <c r="E16" s="12" t="s">
        <v>164</v>
      </c>
      <c r="F16" s="110">
        <v>1</v>
      </c>
      <c r="G16" s="25" t="s">
        <v>165</v>
      </c>
      <c r="H16" s="46"/>
    </row>
    <row r="17" spans="1:8" ht="31.5" x14ac:dyDescent="0.25">
      <c r="A17" s="48">
        <v>10</v>
      </c>
      <c r="B17" s="67" t="s">
        <v>14</v>
      </c>
      <c r="C17" s="67"/>
      <c r="D17" s="12" t="s">
        <v>10</v>
      </c>
      <c r="E17" s="12" t="s">
        <v>15</v>
      </c>
      <c r="F17" s="12"/>
      <c r="G17" s="15"/>
      <c r="H17" s="45" t="s">
        <v>166</v>
      </c>
    </row>
    <row r="18" spans="1:8" ht="31.5" x14ac:dyDescent="0.25">
      <c r="A18" s="48">
        <v>11</v>
      </c>
      <c r="B18" s="67" t="s">
        <v>167</v>
      </c>
      <c r="C18" s="67"/>
      <c r="D18" s="12" t="s">
        <v>10</v>
      </c>
      <c r="E18" s="12" t="s">
        <v>15</v>
      </c>
      <c r="F18" s="12"/>
      <c r="G18" s="13"/>
      <c r="H18" s="46" t="s">
        <v>166</v>
      </c>
    </row>
    <row r="19" spans="1:8" ht="31.5" customHeight="1" x14ac:dyDescent="0.25">
      <c r="A19" s="48">
        <v>12</v>
      </c>
      <c r="B19" s="67" t="s">
        <v>19</v>
      </c>
      <c r="C19" s="67"/>
      <c r="D19" s="12" t="s">
        <v>10</v>
      </c>
      <c r="E19" s="12" t="s">
        <v>67</v>
      </c>
      <c r="F19" s="12"/>
      <c r="G19" s="13"/>
      <c r="H19" s="64" t="s">
        <v>168</v>
      </c>
    </row>
    <row r="20" spans="1:8" ht="30" customHeight="1" x14ac:dyDescent="0.25">
      <c r="A20" s="48">
        <v>13</v>
      </c>
      <c r="B20" s="62" t="s">
        <v>169</v>
      </c>
      <c r="C20" s="63"/>
      <c r="D20" s="12" t="s">
        <v>67</v>
      </c>
      <c r="E20" s="12" t="s">
        <v>10</v>
      </c>
      <c r="F20" s="12"/>
      <c r="G20" s="51"/>
      <c r="H20" s="65"/>
    </row>
    <row r="21" spans="1:8" ht="30" customHeight="1" x14ac:dyDescent="0.25">
      <c r="A21" s="48">
        <v>14</v>
      </c>
      <c r="B21" s="62" t="s">
        <v>63</v>
      </c>
      <c r="C21" s="63"/>
      <c r="D21" s="12" t="s">
        <v>10</v>
      </c>
      <c r="E21" s="12" t="s">
        <v>67</v>
      </c>
      <c r="F21" s="12"/>
      <c r="G21" s="51"/>
      <c r="H21" s="65"/>
    </row>
    <row r="22" spans="1:8" ht="39.75" customHeight="1" x14ac:dyDescent="0.25">
      <c r="A22" s="48">
        <v>15</v>
      </c>
      <c r="B22" s="62" t="s">
        <v>170</v>
      </c>
      <c r="C22" s="63"/>
      <c r="D22" s="12" t="s">
        <v>67</v>
      </c>
      <c r="E22" s="12" t="s">
        <v>10</v>
      </c>
      <c r="F22" s="12"/>
      <c r="G22" s="51"/>
      <c r="H22" s="65"/>
    </row>
    <row r="23" spans="1:8" ht="39.75" customHeight="1" x14ac:dyDescent="0.25">
      <c r="A23" s="48">
        <v>16</v>
      </c>
      <c r="B23" s="62" t="s">
        <v>65</v>
      </c>
      <c r="C23" s="63"/>
      <c r="D23" s="12" t="s">
        <v>10</v>
      </c>
      <c r="E23" s="12" t="s">
        <v>67</v>
      </c>
      <c r="F23" s="12"/>
      <c r="G23" s="51"/>
      <c r="H23" s="65"/>
    </row>
    <row r="24" spans="1:8" ht="15.75" customHeight="1" x14ac:dyDescent="0.25">
      <c r="A24" s="48">
        <v>17</v>
      </c>
      <c r="B24" s="62" t="s">
        <v>22</v>
      </c>
      <c r="C24" s="63"/>
      <c r="D24" s="12" t="s">
        <v>10</v>
      </c>
      <c r="E24" s="12" t="s">
        <v>67</v>
      </c>
      <c r="F24" s="12"/>
      <c r="G24" s="51"/>
      <c r="H24" s="65"/>
    </row>
    <row r="25" spans="1:8" ht="15.75" customHeight="1" x14ac:dyDescent="0.25">
      <c r="A25" s="48">
        <v>18</v>
      </c>
      <c r="B25" s="62" t="s">
        <v>23</v>
      </c>
      <c r="C25" s="63"/>
      <c r="D25" s="12" t="s">
        <v>10</v>
      </c>
      <c r="E25" s="12" t="s">
        <v>67</v>
      </c>
      <c r="F25" s="12"/>
      <c r="G25" s="51"/>
      <c r="H25" s="65"/>
    </row>
    <row r="26" spans="1:8" ht="15.75" customHeight="1" x14ac:dyDescent="0.25">
      <c r="A26" s="48">
        <v>19</v>
      </c>
      <c r="B26" s="62" t="s">
        <v>24</v>
      </c>
      <c r="C26" s="63"/>
      <c r="D26" s="12" t="s">
        <v>10</v>
      </c>
      <c r="E26" s="12" t="s">
        <v>67</v>
      </c>
      <c r="F26" s="12"/>
      <c r="G26" s="51"/>
      <c r="H26" s="65"/>
    </row>
    <row r="27" spans="1:8" ht="15.75" customHeight="1" x14ac:dyDescent="0.25">
      <c r="A27" s="48">
        <v>20</v>
      </c>
      <c r="B27" s="62" t="s">
        <v>25</v>
      </c>
      <c r="C27" s="63"/>
      <c r="D27" s="12" t="s">
        <v>10</v>
      </c>
      <c r="E27" s="12" t="s">
        <v>67</v>
      </c>
      <c r="F27" s="12"/>
      <c r="G27" s="51"/>
      <c r="H27" s="65"/>
    </row>
    <row r="28" spans="1:8" ht="15.75" customHeight="1" x14ac:dyDescent="0.25">
      <c r="A28" s="48">
        <v>21</v>
      </c>
      <c r="B28" s="62" t="s">
        <v>171</v>
      </c>
      <c r="C28" s="63"/>
      <c r="D28" s="12" t="s">
        <v>10</v>
      </c>
      <c r="E28" s="12" t="s">
        <v>67</v>
      </c>
      <c r="F28" s="12"/>
      <c r="G28" s="51"/>
      <c r="H28" s="65"/>
    </row>
    <row r="29" spans="1:8" ht="15.75" customHeight="1" x14ac:dyDescent="0.25">
      <c r="A29" s="48">
        <v>22</v>
      </c>
      <c r="B29" s="62" t="s">
        <v>172</v>
      </c>
      <c r="C29" s="63"/>
      <c r="D29" s="12" t="s">
        <v>10</v>
      </c>
      <c r="E29" s="12" t="s">
        <v>15</v>
      </c>
      <c r="F29" s="12"/>
      <c r="G29" s="51"/>
      <c r="H29" s="65"/>
    </row>
    <row r="30" spans="1:8" ht="15.75" customHeight="1" x14ac:dyDescent="0.25">
      <c r="A30" s="48">
        <v>23</v>
      </c>
      <c r="B30" s="62" t="s">
        <v>173</v>
      </c>
      <c r="C30" s="63"/>
      <c r="D30" s="12" t="s">
        <v>10</v>
      </c>
      <c r="E30" s="12" t="s">
        <v>15</v>
      </c>
      <c r="F30" s="12"/>
      <c r="G30" s="51"/>
      <c r="H30" s="65"/>
    </row>
    <row r="31" spans="1:8" ht="31.5" customHeight="1" x14ac:dyDescent="0.25">
      <c r="A31" s="48">
        <v>24</v>
      </c>
      <c r="B31" s="62" t="s">
        <v>174</v>
      </c>
      <c r="C31" s="63"/>
      <c r="D31" s="12" t="s">
        <v>10</v>
      </c>
      <c r="E31" s="12" t="s">
        <v>175</v>
      </c>
      <c r="F31" s="12"/>
      <c r="G31" s="51"/>
      <c r="H31" s="65"/>
    </row>
    <row r="32" spans="1:8" ht="15.75" customHeight="1" x14ac:dyDescent="0.25">
      <c r="A32" s="48">
        <v>25</v>
      </c>
      <c r="B32" s="62" t="s">
        <v>176</v>
      </c>
      <c r="C32" s="63"/>
      <c r="D32" s="12" t="s">
        <v>67</v>
      </c>
      <c r="E32" s="12" t="s">
        <v>10</v>
      </c>
      <c r="F32" s="12"/>
      <c r="G32" s="51"/>
      <c r="H32" s="65"/>
    </row>
    <row r="33" spans="1:8" ht="15.75" customHeight="1" x14ac:dyDescent="0.25">
      <c r="A33" s="48">
        <v>26</v>
      </c>
      <c r="B33" s="62" t="s">
        <v>177</v>
      </c>
      <c r="C33" s="63"/>
      <c r="D33" s="12" t="s">
        <v>67</v>
      </c>
      <c r="E33" s="12" t="s">
        <v>10</v>
      </c>
      <c r="F33" s="12"/>
      <c r="G33" s="51"/>
      <c r="H33" s="65"/>
    </row>
    <row r="34" spans="1:8" ht="15.75" customHeight="1" x14ac:dyDescent="0.25">
      <c r="A34" s="48">
        <v>27</v>
      </c>
      <c r="B34" s="62" t="s">
        <v>178</v>
      </c>
      <c r="C34" s="63"/>
      <c r="D34" s="12" t="s">
        <v>10</v>
      </c>
      <c r="E34" s="12" t="s">
        <v>67</v>
      </c>
      <c r="F34" s="12"/>
      <c r="G34" s="51"/>
      <c r="H34" s="101"/>
    </row>
    <row r="35" spans="1:8" ht="15.75" x14ac:dyDescent="0.25">
      <c r="A35" s="52">
        <v>28</v>
      </c>
      <c r="B35" s="102" t="s">
        <v>179</v>
      </c>
      <c r="C35" s="103"/>
      <c r="D35" s="12" t="s">
        <v>67</v>
      </c>
      <c r="E35" s="38" t="s">
        <v>87</v>
      </c>
      <c r="F35" s="36">
        <v>1</v>
      </c>
      <c r="G35" s="32" t="s">
        <v>165</v>
      </c>
      <c r="H35" s="46"/>
    </row>
    <row r="36" spans="1:8" ht="30" x14ac:dyDescent="0.25">
      <c r="A36" s="53">
        <v>28.1</v>
      </c>
      <c r="B36" s="62" t="s">
        <v>180</v>
      </c>
      <c r="C36" s="63"/>
      <c r="D36" s="12" t="s">
        <v>67</v>
      </c>
      <c r="E36" s="38" t="s">
        <v>181</v>
      </c>
      <c r="F36" s="36">
        <v>1</v>
      </c>
      <c r="G36" s="32" t="s">
        <v>165</v>
      </c>
      <c r="H36" s="46"/>
    </row>
    <row r="37" spans="1:8" ht="15.75" x14ac:dyDescent="0.25">
      <c r="A37" s="54">
        <v>29</v>
      </c>
      <c r="B37" s="102" t="s">
        <v>182</v>
      </c>
      <c r="C37" s="103"/>
      <c r="D37" s="12" t="s">
        <v>67</v>
      </c>
      <c r="E37" s="38" t="s">
        <v>87</v>
      </c>
      <c r="F37" s="36">
        <v>1</v>
      </c>
      <c r="G37" s="32" t="s">
        <v>183</v>
      </c>
      <c r="H37" s="46"/>
    </row>
    <row r="38" spans="1:8" ht="15.75" x14ac:dyDescent="0.25">
      <c r="A38" s="53">
        <v>29.1</v>
      </c>
      <c r="B38" s="62" t="s">
        <v>184</v>
      </c>
      <c r="C38" s="63"/>
      <c r="D38" s="12" t="s">
        <v>67</v>
      </c>
      <c r="E38" s="38" t="s">
        <v>185</v>
      </c>
      <c r="F38" s="36">
        <v>1</v>
      </c>
      <c r="G38" s="32" t="s">
        <v>183</v>
      </c>
      <c r="H38" s="46"/>
    </row>
    <row r="39" spans="1:8" ht="52.5" customHeight="1" x14ac:dyDescent="0.25">
      <c r="A39" s="48"/>
      <c r="B39" s="59" t="s">
        <v>186</v>
      </c>
      <c r="C39" s="59"/>
      <c r="D39" s="59"/>
      <c r="E39" s="59"/>
      <c r="F39" s="59"/>
      <c r="G39" s="59"/>
      <c r="H39" s="59"/>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sheetData>
  <mergeCells count="42">
    <mergeCell ref="A2:H2"/>
    <mergeCell ref="B3:H3"/>
    <mergeCell ref="A5:A6"/>
    <mergeCell ref="B5:C6"/>
    <mergeCell ref="D5:E5"/>
    <mergeCell ref="F5:F6"/>
    <mergeCell ref="G5:G6"/>
    <mergeCell ref="H5:H6"/>
    <mergeCell ref="B18:C18"/>
    <mergeCell ref="B7:C7"/>
    <mergeCell ref="D7:E7"/>
    <mergeCell ref="A8:A9"/>
    <mergeCell ref="B10:C10"/>
    <mergeCell ref="B11:C11"/>
    <mergeCell ref="B12:C12"/>
    <mergeCell ref="B13:C13"/>
    <mergeCell ref="B14:C14"/>
    <mergeCell ref="B15:C15"/>
    <mergeCell ref="B16:C16"/>
    <mergeCell ref="B17:C17"/>
    <mergeCell ref="B19:C19"/>
    <mergeCell ref="H19:H34"/>
    <mergeCell ref="B20:C20"/>
    <mergeCell ref="B21:C21"/>
    <mergeCell ref="B22:C22"/>
    <mergeCell ref="B23:C23"/>
    <mergeCell ref="B24:C24"/>
    <mergeCell ref="B25:C25"/>
    <mergeCell ref="B26:C26"/>
    <mergeCell ref="B27:C27"/>
    <mergeCell ref="B39:H39"/>
    <mergeCell ref="B28:C28"/>
    <mergeCell ref="B29:C29"/>
    <mergeCell ref="B30:C30"/>
    <mergeCell ref="B31:C31"/>
    <mergeCell ref="B32:C32"/>
    <mergeCell ref="B33:C33"/>
    <mergeCell ref="B34:C34"/>
    <mergeCell ref="B35:C35"/>
    <mergeCell ref="B36:C36"/>
    <mergeCell ref="B37:C37"/>
    <mergeCell ref="B38:C3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F1B8-F2F0-4370-9D23-7ABA59A85D8E}">
  <dimension ref="A2:K27"/>
  <sheetViews>
    <sheetView topLeftCell="A10" workbookViewId="0">
      <selection activeCell="K18" sqref="K18"/>
    </sheetView>
  </sheetViews>
  <sheetFormatPr defaultRowHeight="15" x14ac:dyDescent="0.25"/>
  <cols>
    <col min="2" max="2" width="14.42578125" customWidth="1"/>
    <col min="3" max="3" width="37" customWidth="1"/>
    <col min="4" max="4" width="13.28515625" customWidth="1"/>
    <col min="5" max="6" width="16.140625" customWidth="1"/>
    <col min="7" max="7" width="16" customWidth="1"/>
    <col min="8" max="8" width="23.85546875" customWidth="1"/>
  </cols>
  <sheetData>
    <row r="2" spans="1:8" ht="19.5" x14ac:dyDescent="0.3">
      <c r="A2" s="69" t="s">
        <v>141</v>
      </c>
      <c r="B2" s="69"/>
      <c r="C2" s="69"/>
      <c r="D2" s="69"/>
      <c r="E2" s="69"/>
      <c r="F2" s="69"/>
      <c r="G2" s="69"/>
      <c r="H2" s="69"/>
    </row>
    <row r="3" spans="1:8" ht="45.75" customHeight="1" x14ac:dyDescent="0.3">
      <c r="A3" s="47"/>
      <c r="B3" s="70" t="s">
        <v>195</v>
      </c>
      <c r="C3" s="69"/>
      <c r="D3" s="69"/>
      <c r="E3" s="69"/>
      <c r="F3" s="69"/>
      <c r="G3" s="69"/>
      <c r="H3" s="69"/>
    </row>
    <row r="5" spans="1:8" ht="15.75" x14ac:dyDescent="0.25">
      <c r="A5" s="71" t="s">
        <v>0</v>
      </c>
      <c r="B5" s="72" t="s">
        <v>1</v>
      </c>
      <c r="C5" s="72"/>
      <c r="D5" s="73" t="s">
        <v>2</v>
      </c>
      <c r="E5" s="73"/>
      <c r="F5" s="74" t="s">
        <v>3</v>
      </c>
      <c r="G5" s="73" t="s">
        <v>52</v>
      </c>
      <c r="H5" s="74" t="s">
        <v>4</v>
      </c>
    </row>
    <row r="6" spans="1:8" ht="15.75" x14ac:dyDescent="0.25">
      <c r="A6" s="71"/>
      <c r="B6" s="72"/>
      <c r="C6" s="72"/>
      <c r="D6" s="10" t="s">
        <v>5</v>
      </c>
      <c r="E6" s="10" t="s">
        <v>6</v>
      </c>
      <c r="F6" s="75"/>
      <c r="G6" s="73"/>
      <c r="H6" s="75"/>
    </row>
    <row r="7" spans="1:8" ht="16.5" x14ac:dyDescent="0.25">
      <c r="A7" s="48">
        <v>1</v>
      </c>
      <c r="B7" s="67" t="s">
        <v>216</v>
      </c>
      <c r="C7" s="67"/>
      <c r="D7" s="68" t="s">
        <v>8</v>
      </c>
      <c r="E7" s="68"/>
      <c r="F7" s="57" t="s">
        <v>217</v>
      </c>
      <c r="G7" s="43"/>
      <c r="H7" s="43"/>
    </row>
    <row r="8" spans="1:8" s="5" customFormat="1" ht="68.099999999999994" customHeight="1" x14ac:dyDescent="0.25">
      <c r="A8" s="48">
        <v>2</v>
      </c>
      <c r="B8" s="59" t="s">
        <v>196</v>
      </c>
      <c r="C8" s="59"/>
      <c r="D8" s="12" t="s">
        <v>10</v>
      </c>
      <c r="E8" s="12" t="s">
        <v>197</v>
      </c>
      <c r="F8" s="49">
        <v>1</v>
      </c>
      <c r="G8" s="12" t="s">
        <v>198</v>
      </c>
      <c r="H8" s="46" t="s">
        <v>146</v>
      </c>
    </row>
    <row r="9" spans="1:8" s="5" customFormat="1" ht="139.5" customHeight="1" x14ac:dyDescent="0.25">
      <c r="A9" s="48">
        <v>3</v>
      </c>
      <c r="B9" s="87" t="s">
        <v>199</v>
      </c>
      <c r="C9" s="87"/>
      <c r="D9" s="12" t="s">
        <v>10</v>
      </c>
      <c r="E9" s="12" t="s">
        <v>116</v>
      </c>
      <c r="F9" s="49">
        <v>1</v>
      </c>
      <c r="G9" s="12" t="s">
        <v>198</v>
      </c>
      <c r="H9" s="46" t="s">
        <v>146</v>
      </c>
    </row>
    <row r="10" spans="1:8" s="5" customFormat="1" ht="31.5" x14ac:dyDescent="0.25">
      <c r="A10" s="48">
        <v>4</v>
      </c>
      <c r="B10" s="59" t="s">
        <v>200</v>
      </c>
      <c r="C10" s="59"/>
      <c r="D10" s="12" t="s">
        <v>10</v>
      </c>
      <c r="E10" s="12" t="s">
        <v>116</v>
      </c>
      <c r="F10" s="49">
        <v>1</v>
      </c>
      <c r="G10" s="12" t="s">
        <v>145</v>
      </c>
      <c r="H10" s="46" t="s">
        <v>146</v>
      </c>
    </row>
    <row r="11" spans="1:8" s="5" customFormat="1" ht="31.5" x14ac:dyDescent="0.25">
      <c r="A11" s="48">
        <v>5</v>
      </c>
      <c r="B11" s="59" t="s">
        <v>201</v>
      </c>
      <c r="C11" s="59"/>
      <c r="D11" s="12" t="s">
        <v>10</v>
      </c>
      <c r="E11" s="12" t="s">
        <v>202</v>
      </c>
      <c r="F11" s="49">
        <v>1</v>
      </c>
      <c r="G11" s="12" t="s">
        <v>203</v>
      </c>
      <c r="H11" s="46"/>
    </row>
    <row r="12" spans="1:8" s="5" customFormat="1" ht="41.45" customHeight="1" x14ac:dyDescent="0.25">
      <c r="A12" s="48">
        <v>6</v>
      </c>
      <c r="B12" s="59" t="s">
        <v>204</v>
      </c>
      <c r="C12" s="59"/>
      <c r="D12" s="12" t="s">
        <v>10</v>
      </c>
      <c r="E12" s="12" t="s">
        <v>116</v>
      </c>
      <c r="F12" s="49">
        <v>1</v>
      </c>
      <c r="G12" s="12" t="s">
        <v>188</v>
      </c>
      <c r="H12" s="46"/>
    </row>
    <row r="13" spans="1:8" s="5" customFormat="1" ht="38.450000000000003" customHeight="1" x14ac:dyDescent="0.25">
      <c r="A13" s="48">
        <v>7</v>
      </c>
      <c r="B13" s="59" t="s">
        <v>205</v>
      </c>
      <c r="C13" s="59"/>
      <c r="D13" s="12" t="s">
        <v>10</v>
      </c>
      <c r="E13" s="12" t="s">
        <v>8</v>
      </c>
      <c r="F13" s="49">
        <v>1</v>
      </c>
      <c r="G13" s="12" t="s">
        <v>161</v>
      </c>
      <c r="H13" s="46"/>
    </row>
    <row r="14" spans="1:8" s="5" customFormat="1" ht="42.6" customHeight="1" x14ac:dyDescent="0.25">
      <c r="A14" s="48">
        <v>8</v>
      </c>
      <c r="B14" s="59" t="s">
        <v>118</v>
      </c>
      <c r="C14" s="59"/>
      <c r="D14" s="12" t="s">
        <v>10</v>
      </c>
      <c r="E14" s="12" t="s">
        <v>202</v>
      </c>
      <c r="F14" s="49">
        <v>1</v>
      </c>
      <c r="G14" s="12" t="s">
        <v>154</v>
      </c>
      <c r="H14" s="46"/>
    </row>
    <row r="15" spans="1:8" s="8" customFormat="1" ht="31.5" x14ac:dyDescent="0.25">
      <c r="A15" s="48">
        <v>9</v>
      </c>
      <c r="B15" s="59" t="s">
        <v>218</v>
      </c>
      <c r="C15" s="59"/>
      <c r="D15" s="12" t="s">
        <v>202</v>
      </c>
      <c r="E15" s="12" t="s">
        <v>10</v>
      </c>
      <c r="F15" s="49">
        <v>1</v>
      </c>
      <c r="G15" s="25" t="s">
        <v>219</v>
      </c>
      <c r="H15" s="46"/>
    </row>
    <row r="16" spans="1:8" s="5" customFormat="1" ht="31.5" x14ac:dyDescent="0.25">
      <c r="A16" s="48">
        <v>10</v>
      </c>
      <c r="B16" s="59" t="s">
        <v>160</v>
      </c>
      <c r="C16" s="59"/>
      <c r="D16" s="12" t="s">
        <v>10</v>
      </c>
      <c r="E16" s="12" t="s">
        <v>202</v>
      </c>
      <c r="F16" s="49">
        <v>1</v>
      </c>
      <c r="G16" s="12" t="s">
        <v>157</v>
      </c>
      <c r="H16" s="46"/>
    </row>
    <row r="17" spans="1:11" s="5" customFormat="1" ht="41.45" customHeight="1" x14ac:dyDescent="0.25">
      <c r="A17" s="48">
        <v>11</v>
      </c>
      <c r="B17" s="59" t="s">
        <v>14</v>
      </c>
      <c r="C17" s="59"/>
      <c r="D17" s="12" t="s">
        <v>10</v>
      </c>
      <c r="E17" s="12" t="s">
        <v>206</v>
      </c>
      <c r="F17" s="49">
        <v>1</v>
      </c>
      <c r="G17" s="12" t="s">
        <v>161</v>
      </c>
      <c r="H17" s="46"/>
      <c r="K17" s="8"/>
    </row>
    <row r="18" spans="1:11" s="5" customFormat="1" ht="33.950000000000003" customHeight="1" x14ac:dyDescent="0.25">
      <c r="A18" s="48">
        <v>12</v>
      </c>
      <c r="B18" s="59" t="s">
        <v>207</v>
      </c>
      <c r="C18" s="59"/>
      <c r="D18" s="12" t="s">
        <v>10</v>
      </c>
      <c r="E18" s="12" t="s">
        <v>8</v>
      </c>
      <c r="F18" s="12"/>
      <c r="G18" s="12"/>
      <c r="H18" s="45" t="s">
        <v>166</v>
      </c>
    </row>
    <row r="19" spans="1:11" s="5" customFormat="1" ht="40.5" customHeight="1" x14ac:dyDescent="0.25">
      <c r="A19" s="48">
        <v>13</v>
      </c>
      <c r="B19" s="59" t="s">
        <v>208</v>
      </c>
      <c r="C19" s="59"/>
      <c r="D19" s="48" t="s">
        <v>10</v>
      </c>
      <c r="E19" s="48" t="s">
        <v>8</v>
      </c>
      <c r="F19" s="12"/>
      <c r="G19" s="12"/>
      <c r="H19" s="46" t="s">
        <v>166</v>
      </c>
    </row>
    <row r="20" spans="1:11" s="5" customFormat="1" ht="40.5" customHeight="1" x14ac:dyDescent="0.25">
      <c r="A20" s="48">
        <v>14</v>
      </c>
      <c r="B20" s="59" t="s">
        <v>209</v>
      </c>
      <c r="C20" s="59"/>
      <c r="D20" s="12" t="s">
        <v>202</v>
      </c>
      <c r="E20" s="48" t="s">
        <v>10</v>
      </c>
      <c r="F20" s="12"/>
      <c r="G20" s="12"/>
      <c r="H20" s="64" t="s">
        <v>168</v>
      </c>
    </row>
    <row r="21" spans="1:11" s="5" customFormat="1" ht="40.5" customHeight="1" x14ac:dyDescent="0.25">
      <c r="A21" s="48">
        <v>15</v>
      </c>
      <c r="B21" s="59" t="s">
        <v>210</v>
      </c>
      <c r="C21" s="59"/>
      <c r="D21" s="12" t="s">
        <v>202</v>
      </c>
      <c r="E21" s="48" t="s">
        <v>10</v>
      </c>
      <c r="F21" s="12"/>
      <c r="G21" s="12"/>
      <c r="H21" s="65"/>
    </row>
    <row r="22" spans="1:11" s="5" customFormat="1" ht="33.950000000000003" customHeight="1" x14ac:dyDescent="0.25">
      <c r="A22" s="48">
        <v>16</v>
      </c>
      <c r="B22" s="59" t="s">
        <v>211</v>
      </c>
      <c r="C22" s="59"/>
      <c r="D22" s="12" t="s">
        <v>202</v>
      </c>
      <c r="E22" s="48" t="s">
        <v>10</v>
      </c>
      <c r="F22" s="12"/>
      <c r="G22" s="12"/>
      <c r="H22" s="65"/>
    </row>
    <row r="23" spans="1:11" s="5" customFormat="1" ht="215.45" customHeight="1" x14ac:dyDescent="0.25">
      <c r="A23" s="48">
        <v>17</v>
      </c>
      <c r="B23" s="59" t="s">
        <v>132</v>
      </c>
      <c r="C23" s="59"/>
      <c r="D23" s="12" t="s">
        <v>10</v>
      </c>
      <c r="E23" s="12" t="s">
        <v>202</v>
      </c>
      <c r="F23" s="56"/>
      <c r="G23" s="56"/>
      <c r="H23" s="65"/>
    </row>
    <row r="24" spans="1:11" s="5" customFormat="1" ht="209.1" customHeight="1" x14ac:dyDescent="0.25">
      <c r="A24" s="48">
        <v>18</v>
      </c>
      <c r="B24" s="59" t="s">
        <v>212</v>
      </c>
      <c r="C24" s="59"/>
      <c r="D24" s="48" t="s">
        <v>10</v>
      </c>
      <c r="E24" s="48" t="s">
        <v>8</v>
      </c>
      <c r="F24" s="56"/>
      <c r="G24" s="56"/>
      <c r="H24" s="65"/>
    </row>
    <row r="25" spans="1:11" s="5" customFormat="1" ht="33.950000000000003" customHeight="1" x14ac:dyDescent="0.25">
      <c r="A25" s="48">
        <v>19</v>
      </c>
      <c r="B25" s="59" t="s">
        <v>213</v>
      </c>
      <c r="C25" s="59"/>
      <c r="D25" s="48" t="s">
        <v>10</v>
      </c>
      <c r="E25" s="12" t="s">
        <v>214</v>
      </c>
      <c r="F25" s="56"/>
      <c r="G25" s="56"/>
      <c r="H25" s="65"/>
    </row>
    <row r="26" spans="1:11" s="5" customFormat="1" ht="33.950000000000003" customHeight="1" x14ac:dyDescent="0.25">
      <c r="A26" s="48">
        <v>20</v>
      </c>
      <c r="B26" s="59" t="s">
        <v>215</v>
      </c>
      <c r="C26" s="59"/>
      <c r="D26" s="48" t="s">
        <v>10</v>
      </c>
      <c r="E26" s="48" t="s">
        <v>8</v>
      </c>
      <c r="F26" s="56"/>
      <c r="G26" s="56"/>
      <c r="H26" s="65"/>
    </row>
    <row r="27" spans="1:11" ht="52.5" customHeight="1" x14ac:dyDescent="0.25">
      <c r="A27" s="48"/>
      <c r="B27" s="59" t="s">
        <v>186</v>
      </c>
      <c r="C27" s="59"/>
      <c r="D27" s="59"/>
      <c r="E27" s="59"/>
      <c r="F27" s="59"/>
      <c r="G27" s="59"/>
      <c r="H27" s="59"/>
    </row>
  </sheetData>
  <mergeCells count="31">
    <mergeCell ref="A2:H2"/>
    <mergeCell ref="B3:H3"/>
    <mergeCell ref="A5:A6"/>
    <mergeCell ref="B5:C6"/>
    <mergeCell ref="D5:E5"/>
    <mergeCell ref="F5:F6"/>
    <mergeCell ref="G5:G6"/>
    <mergeCell ref="H5:H6"/>
    <mergeCell ref="B7:C7"/>
    <mergeCell ref="D7:E7"/>
    <mergeCell ref="B10:C10"/>
    <mergeCell ref="B11:C11"/>
    <mergeCell ref="B12:C12"/>
    <mergeCell ref="B8:C8"/>
    <mergeCell ref="B9:C9"/>
    <mergeCell ref="B13:C13"/>
    <mergeCell ref="B14:C14"/>
    <mergeCell ref="B15:C15"/>
    <mergeCell ref="B17:C17"/>
    <mergeCell ref="B18:C18"/>
    <mergeCell ref="B16:C16"/>
    <mergeCell ref="B27:H27"/>
    <mergeCell ref="B20:C20"/>
    <mergeCell ref="H20:H26"/>
    <mergeCell ref="B21:C21"/>
    <mergeCell ref="B22:C22"/>
    <mergeCell ref="B23:C23"/>
    <mergeCell ref="B24:C24"/>
    <mergeCell ref="B25:C25"/>
    <mergeCell ref="B26:C26"/>
    <mergeCell ref="B19:C19"/>
  </mergeCells>
  <phoneticPr fontId="19"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5F2CE-AA4C-4CBA-ACAE-D746D8D79B4D}">
  <dimension ref="A2:H29"/>
  <sheetViews>
    <sheetView topLeftCell="A7" workbookViewId="0">
      <selection activeCell="A13" sqref="A13:XFD13"/>
    </sheetView>
  </sheetViews>
  <sheetFormatPr defaultRowHeight="15" x14ac:dyDescent="0.25"/>
  <cols>
    <col min="2" max="2" width="14.42578125" customWidth="1"/>
    <col min="3" max="3" width="37" customWidth="1"/>
    <col min="4" max="4" width="13.28515625" customWidth="1"/>
    <col min="5" max="6" width="16.140625" customWidth="1"/>
    <col min="7" max="7" width="16" customWidth="1"/>
    <col min="8" max="8" width="23.85546875" customWidth="1"/>
  </cols>
  <sheetData>
    <row r="2" spans="1:8" ht="19.5" x14ac:dyDescent="0.3">
      <c r="A2" s="69" t="s">
        <v>141</v>
      </c>
      <c r="B2" s="69"/>
      <c r="C2" s="69"/>
      <c r="D2" s="69"/>
      <c r="E2" s="69"/>
      <c r="F2" s="69"/>
      <c r="G2" s="69"/>
      <c r="H2" s="69"/>
    </row>
    <row r="3" spans="1:8" ht="45.75" customHeight="1" x14ac:dyDescent="0.3">
      <c r="A3" s="47"/>
      <c r="B3" s="70" t="s">
        <v>220</v>
      </c>
      <c r="C3" s="69"/>
      <c r="D3" s="69"/>
      <c r="E3" s="69"/>
      <c r="F3" s="69"/>
      <c r="G3" s="69"/>
      <c r="H3" s="69"/>
    </row>
    <row r="5" spans="1:8" ht="15.75" x14ac:dyDescent="0.25">
      <c r="A5" s="71" t="s">
        <v>0</v>
      </c>
      <c r="B5" s="72" t="s">
        <v>1</v>
      </c>
      <c r="C5" s="72"/>
      <c r="D5" s="73" t="s">
        <v>2</v>
      </c>
      <c r="E5" s="73"/>
      <c r="F5" s="74" t="s">
        <v>3</v>
      </c>
      <c r="G5" s="73" t="s">
        <v>52</v>
      </c>
      <c r="H5" s="74" t="s">
        <v>4</v>
      </c>
    </row>
    <row r="6" spans="1:8" ht="15.75" x14ac:dyDescent="0.25">
      <c r="A6" s="71"/>
      <c r="B6" s="72"/>
      <c r="C6" s="72"/>
      <c r="D6" s="10" t="s">
        <v>5</v>
      </c>
      <c r="E6" s="10" t="s">
        <v>6</v>
      </c>
      <c r="F6" s="75"/>
      <c r="G6" s="73"/>
      <c r="H6" s="75"/>
    </row>
    <row r="7" spans="1:8" ht="16.5" x14ac:dyDescent="0.25">
      <c r="A7" s="48">
        <v>1</v>
      </c>
      <c r="B7" s="67" t="s">
        <v>216</v>
      </c>
      <c r="C7" s="67"/>
      <c r="D7" s="68" t="s">
        <v>8</v>
      </c>
      <c r="E7" s="68"/>
      <c r="F7" s="57" t="s">
        <v>221</v>
      </c>
      <c r="G7" s="43"/>
      <c r="H7" s="43"/>
    </row>
    <row r="8" spans="1:8" s="5" customFormat="1" ht="74.099999999999994" customHeight="1" x14ac:dyDescent="0.25">
      <c r="A8" s="48">
        <v>2</v>
      </c>
      <c r="B8" s="66" t="s">
        <v>222</v>
      </c>
      <c r="C8" s="66"/>
      <c r="D8" s="12" t="s">
        <v>10</v>
      </c>
      <c r="E8" s="12" t="s">
        <v>116</v>
      </c>
      <c r="F8" s="49">
        <v>1</v>
      </c>
      <c r="G8" s="12" t="s">
        <v>203</v>
      </c>
      <c r="H8" s="46"/>
    </row>
    <row r="9" spans="1:8" s="5" customFormat="1" ht="31.5" x14ac:dyDescent="0.25">
      <c r="A9" s="48">
        <v>3</v>
      </c>
      <c r="B9" s="66" t="s">
        <v>223</v>
      </c>
      <c r="C9" s="66"/>
      <c r="D9" s="12" t="s">
        <v>10</v>
      </c>
      <c r="E9" s="12" t="s">
        <v>116</v>
      </c>
      <c r="F9" s="49">
        <v>1</v>
      </c>
      <c r="G9" s="12" t="s">
        <v>203</v>
      </c>
      <c r="H9" s="46"/>
    </row>
    <row r="10" spans="1:8" s="5" customFormat="1" ht="31.5" x14ac:dyDescent="0.25">
      <c r="A10" s="48">
        <v>4</v>
      </c>
      <c r="B10" s="66" t="s">
        <v>224</v>
      </c>
      <c r="C10" s="66"/>
      <c r="D10" s="12" t="s">
        <v>10</v>
      </c>
      <c r="E10" s="12" t="s">
        <v>202</v>
      </c>
      <c r="F10" s="49">
        <v>1</v>
      </c>
      <c r="G10" s="12" t="s">
        <v>225</v>
      </c>
      <c r="H10" s="43"/>
    </row>
    <row r="11" spans="1:8" s="5" customFormat="1" ht="31.5" x14ac:dyDescent="0.25">
      <c r="A11" s="48">
        <v>5</v>
      </c>
      <c r="B11" s="66" t="s">
        <v>226</v>
      </c>
      <c r="C11" s="66"/>
      <c r="D11" s="12" t="s">
        <v>10</v>
      </c>
      <c r="E11" s="12" t="s">
        <v>202</v>
      </c>
      <c r="F11" s="49">
        <v>1</v>
      </c>
      <c r="G11" s="12" t="s">
        <v>227</v>
      </c>
      <c r="H11" s="43"/>
    </row>
    <row r="12" spans="1:8" s="5" customFormat="1" ht="31.5" x14ac:dyDescent="0.25">
      <c r="A12" s="48">
        <v>6</v>
      </c>
      <c r="B12" s="66" t="s">
        <v>238</v>
      </c>
      <c r="C12" s="66"/>
      <c r="D12" s="12" t="s">
        <v>10</v>
      </c>
      <c r="E12" s="12" t="s">
        <v>202</v>
      </c>
      <c r="F12" s="49">
        <v>1</v>
      </c>
      <c r="G12" s="12" t="s">
        <v>188</v>
      </c>
      <c r="H12" s="43"/>
    </row>
    <row r="13" spans="1:8" s="8" customFormat="1" ht="57" customHeight="1" x14ac:dyDescent="0.25">
      <c r="A13" s="48">
        <v>7</v>
      </c>
      <c r="B13" s="60" t="s">
        <v>235</v>
      </c>
      <c r="C13" s="61"/>
      <c r="D13" s="12" t="s">
        <v>163</v>
      </c>
      <c r="E13" s="26" t="s">
        <v>236</v>
      </c>
      <c r="F13" s="49">
        <v>1</v>
      </c>
      <c r="G13" s="25" t="s">
        <v>237</v>
      </c>
      <c r="H13" s="43"/>
    </row>
    <row r="14" spans="1:8" s="8" customFormat="1" ht="57" customHeight="1" x14ac:dyDescent="0.25">
      <c r="A14" s="48">
        <v>8</v>
      </c>
      <c r="B14" s="59" t="s">
        <v>218</v>
      </c>
      <c r="C14" s="59"/>
      <c r="D14" s="12" t="s">
        <v>202</v>
      </c>
      <c r="E14" s="12" t="s">
        <v>10</v>
      </c>
      <c r="F14" s="49"/>
      <c r="G14" s="25"/>
      <c r="H14" s="58" t="s">
        <v>240</v>
      </c>
    </row>
    <row r="15" spans="1:8" s="5" customFormat="1" ht="35.450000000000003" customHeight="1" x14ac:dyDescent="0.25">
      <c r="A15" s="48">
        <v>9</v>
      </c>
      <c r="B15" s="59" t="s">
        <v>239</v>
      </c>
      <c r="C15" s="59"/>
      <c r="D15" s="12" t="s">
        <v>10</v>
      </c>
      <c r="E15" s="12" t="s">
        <v>202</v>
      </c>
      <c r="F15" s="49">
        <v>1</v>
      </c>
      <c r="G15" s="12" t="s">
        <v>187</v>
      </c>
      <c r="H15" s="55" t="s">
        <v>189</v>
      </c>
    </row>
    <row r="16" spans="1:8" s="5" customFormat="1" ht="45.95" customHeight="1" x14ac:dyDescent="0.25">
      <c r="A16" s="48">
        <v>10</v>
      </c>
      <c r="B16" s="59" t="s">
        <v>14</v>
      </c>
      <c r="C16" s="59"/>
      <c r="D16" s="12" t="s">
        <v>10</v>
      </c>
      <c r="E16" s="12" t="s">
        <v>202</v>
      </c>
      <c r="F16" s="49">
        <v>1</v>
      </c>
      <c r="G16" s="12" t="s">
        <v>157</v>
      </c>
      <c r="H16" s="12"/>
    </row>
    <row r="17" spans="1:8" s="5" customFormat="1" ht="54.95" customHeight="1" x14ac:dyDescent="0.25">
      <c r="A17" s="48">
        <v>11</v>
      </c>
      <c r="B17" s="59" t="s">
        <v>228</v>
      </c>
      <c r="C17" s="59"/>
      <c r="D17" s="12" t="s">
        <v>10</v>
      </c>
      <c r="E17" s="12" t="s">
        <v>202</v>
      </c>
      <c r="G17" s="12" t="s">
        <v>229</v>
      </c>
      <c r="H17" s="12" t="s">
        <v>168</v>
      </c>
    </row>
    <row r="18" spans="1:8" s="5" customFormat="1" ht="47.25" x14ac:dyDescent="0.25">
      <c r="A18" s="48">
        <v>12</v>
      </c>
      <c r="B18" s="59" t="s">
        <v>210</v>
      </c>
      <c r="C18" s="59"/>
      <c r="D18" s="12" t="s">
        <v>202</v>
      </c>
      <c r="E18" s="12" t="s">
        <v>10</v>
      </c>
      <c r="G18" s="12" t="s">
        <v>229</v>
      </c>
      <c r="H18" s="12" t="s">
        <v>230</v>
      </c>
    </row>
    <row r="19" spans="1:8" s="5" customFormat="1" ht="42.6" customHeight="1" x14ac:dyDescent="0.25">
      <c r="A19" s="48">
        <v>13</v>
      </c>
      <c r="B19" s="59" t="s">
        <v>231</v>
      </c>
      <c r="C19" s="59"/>
      <c r="D19" s="12" t="s">
        <v>10</v>
      </c>
      <c r="E19" s="12" t="s">
        <v>8</v>
      </c>
      <c r="F19" s="49">
        <v>1</v>
      </c>
      <c r="G19" s="12" t="s">
        <v>161</v>
      </c>
      <c r="H19" s="12"/>
    </row>
    <row r="20" spans="1:8" s="5" customFormat="1" ht="54.95" customHeight="1" x14ac:dyDescent="0.25">
      <c r="A20" s="48">
        <v>14</v>
      </c>
      <c r="B20" s="59" t="s">
        <v>232</v>
      </c>
      <c r="C20" s="59"/>
      <c r="D20" s="12" t="s">
        <v>10</v>
      </c>
      <c r="E20" s="12" t="s">
        <v>202</v>
      </c>
      <c r="F20" s="12"/>
      <c r="G20" s="12"/>
      <c r="H20" s="45" t="s">
        <v>166</v>
      </c>
    </row>
    <row r="21" spans="1:8" s="5" customFormat="1" ht="39.6" customHeight="1" x14ac:dyDescent="0.25">
      <c r="A21" s="48">
        <v>15</v>
      </c>
      <c r="B21" s="59" t="s">
        <v>233</v>
      </c>
      <c r="C21" s="59"/>
      <c r="D21" s="48" t="s">
        <v>10</v>
      </c>
      <c r="E21" s="12" t="s">
        <v>214</v>
      </c>
      <c r="F21" s="12"/>
      <c r="G21" s="12"/>
      <c r="H21" s="46" t="s">
        <v>166</v>
      </c>
    </row>
    <row r="22" spans="1:8" s="5" customFormat="1" ht="227.45" customHeight="1" x14ac:dyDescent="0.25">
      <c r="A22" s="48">
        <v>16</v>
      </c>
      <c r="B22" s="59" t="s">
        <v>132</v>
      </c>
      <c r="C22" s="59"/>
      <c r="D22" s="48" t="s">
        <v>10</v>
      </c>
      <c r="E22" s="12" t="s">
        <v>202</v>
      </c>
      <c r="F22" s="12"/>
      <c r="G22" s="12"/>
      <c r="H22" s="64" t="s">
        <v>168</v>
      </c>
    </row>
    <row r="23" spans="1:8" s="5" customFormat="1" ht="99.6" customHeight="1" x14ac:dyDescent="0.25">
      <c r="A23" s="48">
        <v>17</v>
      </c>
      <c r="B23" s="59" t="s">
        <v>234</v>
      </c>
      <c r="C23" s="59"/>
      <c r="D23" s="48" t="s">
        <v>10</v>
      </c>
      <c r="E23" s="12" t="s">
        <v>8</v>
      </c>
      <c r="F23" s="12"/>
      <c r="G23" s="12"/>
      <c r="H23" s="65"/>
    </row>
    <row r="24" spans="1:8" s="5" customFormat="1" ht="66.599999999999994" customHeight="1" x14ac:dyDescent="0.25">
      <c r="A24" s="48">
        <v>18</v>
      </c>
      <c r="B24" s="62" t="s">
        <v>211</v>
      </c>
      <c r="C24" s="63"/>
      <c r="D24" s="12" t="s">
        <v>202</v>
      </c>
      <c r="E24" s="48" t="s">
        <v>10</v>
      </c>
      <c r="F24" s="12"/>
      <c r="G24" s="12"/>
      <c r="H24" s="65"/>
    </row>
    <row r="25" spans="1:8" s="5" customFormat="1" ht="215.45" customHeight="1" x14ac:dyDescent="0.25">
      <c r="A25" s="48">
        <v>19</v>
      </c>
      <c r="B25" s="59" t="s">
        <v>132</v>
      </c>
      <c r="C25" s="59"/>
      <c r="D25" s="12" t="s">
        <v>10</v>
      </c>
      <c r="E25" s="12" t="s">
        <v>202</v>
      </c>
      <c r="F25" s="56"/>
      <c r="G25" s="56"/>
      <c r="H25" s="65"/>
    </row>
    <row r="26" spans="1:8" s="5" customFormat="1" ht="209.1" customHeight="1" x14ac:dyDescent="0.25">
      <c r="A26" s="48">
        <v>20</v>
      </c>
      <c r="B26" s="59" t="s">
        <v>212</v>
      </c>
      <c r="C26" s="59"/>
      <c r="D26" s="48" t="s">
        <v>10</v>
      </c>
      <c r="E26" s="48" t="s">
        <v>8</v>
      </c>
      <c r="F26" s="56"/>
      <c r="G26" s="56"/>
      <c r="H26" s="65"/>
    </row>
    <row r="27" spans="1:8" s="5" customFormat="1" ht="33.950000000000003" customHeight="1" x14ac:dyDescent="0.25">
      <c r="A27" s="48">
        <v>21</v>
      </c>
      <c r="B27" s="59" t="s">
        <v>213</v>
      </c>
      <c r="C27" s="59"/>
      <c r="D27" s="48" t="s">
        <v>10</v>
      </c>
      <c r="E27" s="12" t="s">
        <v>214</v>
      </c>
      <c r="F27" s="56"/>
      <c r="G27" s="56"/>
      <c r="H27" s="65"/>
    </row>
    <row r="28" spans="1:8" s="5" customFormat="1" ht="33.950000000000003" customHeight="1" x14ac:dyDescent="0.25">
      <c r="A28" s="48">
        <v>22</v>
      </c>
      <c r="B28" s="59" t="s">
        <v>215</v>
      </c>
      <c r="C28" s="59"/>
      <c r="D28" s="48" t="s">
        <v>10</v>
      </c>
      <c r="E28" s="48" t="s">
        <v>8</v>
      </c>
      <c r="F28" s="56"/>
      <c r="G28" s="56"/>
      <c r="H28" s="65"/>
    </row>
    <row r="29" spans="1:8" ht="52.5" customHeight="1" x14ac:dyDescent="0.25">
      <c r="A29" s="48"/>
      <c r="B29" s="59" t="s">
        <v>186</v>
      </c>
      <c r="C29" s="59"/>
      <c r="D29" s="59"/>
      <c r="E29" s="59"/>
      <c r="F29" s="59"/>
      <c r="G29" s="59"/>
      <c r="H29" s="59"/>
    </row>
  </sheetData>
  <mergeCells count="33">
    <mergeCell ref="B11:C11"/>
    <mergeCell ref="A2:H2"/>
    <mergeCell ref="B3:H3"/>
    <mergeCell ref="A5:A6"/>
    <mergeCell ref="B5:C6"/>
    <mergeCell ref="D5:E5"/>
    <mergeCell ref="F5:F6"/>
    <mergeCell ref="G5:G6"/>
    <mergeCell ref="H5:H6"/>
    <mergeCell ref="B7:C7"/>
    <mergeCell ref="D7:E7"/>
    <mergeCell ref="B8:C8"/>
    <mergeCell ref="B9:C9"/>
    <mergeCell ref="B10:C10"/>
    <mergeCell ref="B12:C12"/>
    <mergeCell ref="B15:C15"/>
    <mergeCell ref="B16:C16"/>
    <mergeCell ref="B17:C17"/>
    <mergeCell ref="B18:C18"/>
    <mergeCell ref="B29:H29"/>
    <mergeCell ref="B13:C13"/>
    <mergeCell ref="B14:C14"/>
    <mergeCell ref="B24:C24"/>
    <mergeCell ref="B20:C20"/>
    <mergeCell ref="B21:C21"/>
    <mergeCell ref="B22:C22"/>
    <mergeCell ref="H22:H28"/>
    <mergeCell ref="B23:C23"/>
    <mergeCell ref="B25:C25"/>
    <mergeCell ref="B26:C26"/>
    <mergeCell ref="B27:C27"/>
    <mergeCell ref="B28:C28"/>
    <mergeCell ref="B19:C1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2A824-7A1B-4E60-BEE8-D6968E37E2C0}">
  <dimension ref="A2:H21"/>
  <sheetViews>
    <sheetView topLeftCell="A11" workbookViewId="0">
      <selection activeCell="F13" sqref="F13"/>
    </sheetView>
  </sheetViews>
  <sheetFormatPr defaultRowHeight="15" x14ac:dyDescent="0.25"/>
  <cols>
    <col min="2" max="2" width="14.42578125" customWidth="1"/>
    <col min="3" max="3" width="37" customWidth="1"/>
    <col min="4" max="4" width="13.28515625" customWidth="1"/>
    <col min="5" max="6" width="16.140625" customWidth="1"/>
    <col min="7" max="7" width="16" customWidth="1"/>
    <col min="8" max="8" width="23.85546875" customWidth="1"/>
  </cols>
  <sheetData>
    <row r="2" spans="1:8" ht="19.5" x14ac:dyDescent="0.3">
      <c r="A2" s="69" t="s">
        <v>141</v>
      </c>
      <c r="B2" s="69"/>
      <c r="C2" s="69"/>
      <c r="D2" s="69"/>
      <c r="E2" s="69"/>
      <c r="F2" s="69"/>
      <c r="G2" s="69"/>
      <c r="H2" s="69"/>
    </row>
    <row r="3" spans="1:8" ht="45.75" customHeight="1" x14ac:dyDescent="0.3">
      <c r="A3" s="47"/>
      <c r="B3" s="70" t="s">
        <v>256</v>
      </c>
      <c r="C3" s="69"/>
      <c r="D3" s="69"/>
      <c r="E3" s="69"/>
      <c r="F3" s="69"/>
      <c r="G3" s="69"/>
      <c r="H3" s="69"/>
    </row>
    <row r="5" spans="1:8" ht="15.75" x14ac:dyDescent="0.25">
      <c r="A5" s="71" t="s">
        <v>0</v>
      </c>
      <c r="B5" s="72" t="s">
        <v>1</v>
      </c>
      <c r="C5" s="72"/>
      <c r="D5" s="73" t="s">
        <v>2</v>
      </c>
      <c r="E5" s="73"/>
      <c r="F5" s="74" t="s">
        <v>3</v>
      </c>
      <c r="G5" s="73" t="s">
        <v>52</v>
      </c>
      <c r="H5" s="74" t="s">
        <v>4</v>
      </c>
    </row>
    <row r="6" spans="1:8" ht="15.75" x14ac:dyDescent="0.25">
      <c r="A6" s="71"/>
      <c r="B6" s="72"/>
      <c r="C6" s="72"/>
      <c r="D6" s="10" t="s">
        <v>5</v>
      </c>
      <c r="E6" s="10" t="s">
        <v>6</v>
      </c>
      <c r="F6" s="75"/>
      <c r="G6" s="73"/>
      <c r="H6" s="75"/>
    </row>
    <row r="7" spans="1:8" s="105" customFormat="1" ht="31.5" x14ac:dyDescent="0.25">
      <c r="A7" s="48">
        <v>1</v>
      </c>
      <c r="B7" s="67" t="s">
        <v>216</v>
      </c>
      <c r="C7" s="67"/>
      <c r="D7" s="68" t="s">
        <v>8</v>
      </c>
      <c r="E7" s="68"/>
      <c r="F7" s="26" t="s">
        <v>241</v>
      </c>
      <c r="G7" s="12" t="s">
        <v>203</v>
      </c>
      <c r="H7" s="43"/>
    </row>
    <row r="8" spans="1:8" s="5" customFormat="1" ht="28.5" customHeight="1" x14ac:dyDescent="0.25">
      <c r="A8" s="48"/>
      <c r="B8" s="106" t="s">
        <v>242</v>
      </c>
      <c r="C8" s="106"/>
      <c r="D8" s="106"/>
      <c r="E8" s="106"/>
      <c r="F8" s="106"/>
      <c r="G8" s="106"/>
      <c r="H8" s="106"/>
    </row>
    <row r="9" spans="1:8" s="5" customFormat="1" ht="63" customHeight="1" x14ac:dyDescent="0.25">
      <c r="A9" s="48">
        <v>2</v>
      </c>
      <c r="B9" s="67" t="s">
        <v>243</v>
      </c>
      <c r="C9" s="67"/>
      <c r="D9" s="12" t="s">
        <v>10</v>
      </c>
      <c r="E9" s="12" t="s">
        <v>197</v>
      </c>
      <c r="F9" s="49">
        <v>1</v>
      </c>
      <c r="G9" s="15" t="s">
        <v>244</v>
      </c>
      <c r="H9" s="43"/>
    </row>
    <row r="10" spans="1:8" s="5" customFormat="1" ht="45" customHeight="1" x14ac:dyDescent="0.25">
      <c r="A10" s="48">
        <v>3</v>
      </c>
      <c r="B10" s="67" t="s">
        <v>245</v>
      </c>
      <c r="C10" s="67"/>
      <c r="D10" s="12" t="s">
        <v>10</v>
      </c>
      <c r="E10" s="12" t="s">
        <v>116</v>
      </c>
      <c r="F10" s="49">
        <v>1</v>
      </c>
      <c r="G10" s="15" t="s">
        <v>145</v>
      </c>
      <c r="H10" s="43" t="s">
        <v>146</v>
      </c>
    </row>
    <row r="11" spans="1:8" s="5" customFormat="1" ht="45" customHeight="1" x14ac:dyDescent="0.25">
      <c r="A11" s="48">
        <v>4</v>
      </c>
      <c r="B11" s="67" t="s">
        <v>246</v>
      </c>
      <c r="C11" s="67"/>
      <c r="D11" s="12" t="s">
        <v>10</v>
      </c>
      <c r="E11" s="12" t="s">
        <v>116</v>
      </c>
      <c r="F11" s="49">
        <v>1</v>
      </c>
      <c r="G11" s="15" t="s">
        <v>227</v>
      </c>
      <c r="H11" s="43"/>
    </row>
    <row r="12" spans="1:8" s="5" customFormat="1" ht="45" customHeight="1" x14ac:dyDescent="0.25">
      <c r="A12" s="48">
        <v>5</v>
      </c>
      <c r="B12" s="67" t="s">
        <v>247</v>
      </c>
      <c r="C12" s="67"/>
      <c r="D12" s="12" t="s">
        <v>10</v>
      </c>
      <c r="E12" s="12" t="s">
        <v>116</v>
      </c>
      <c r="F12" s="49">
        <v>1</v>
      </c>
      <c r="G12" s="15" t="s">
        <v>227</v>
      </c>
      <c r="H12" s="43"/>
    </row>
    <row r="13" spans="1:8" s="5" customFormat="1" ht="45" customHeight="1" x14ac:dyDescent="0.25">
      <c r="A13" s="48">
        <v>6</v>
      </c>
      <c r="B13" s="67" t="s">
        <v>248</v>
      </c>
      <c r="C13" s="67"/>
      <c r="D13" s="12" t="s">
        <v>10</v>
      </c>
      <c r="E13" s="12" t="s">
        <v>116</v>
      </c>
      <c r="F13" s="49">
        <v>1</v>
      </c>
      <c r="G13" s="15" t="s">
        <v>157</v>
      </c>
      <c r="H13" s="43"/>
    </row>
    <row r="14" spans="1:8" s="5" customFormat="1" ht="45" customHeight="1" x14ac:dyDescent="0.25">
      <c r="A14" s="48">
        <v>7</v>
      </c>
      <c r="B14" s="67" t="s">
        <v>249</v>
      </c>
      <c r="C14" s="67"/>
      <c r="D14" s="12" t="s">
        <v>10</v>
      </c>
      <c r="E14" s="12" t="s">
        <v>202</v>
      </c>
      <c r="F14" s="13"/>
      <c r="G14" s="13"/>
      <c r="H14" s="43" t="s">
        <v>46</v>
      </c>
    </row>
    <row r="15" spans="1:8" s="5" customFormat="1" ht="49.5" customHeight="1" x14ac:dyDescent="0.25">
      <c r="A15" s="48"/>
      <c r="B15" s="107" t="s">
        <v>250</v>
      </c>
      <c r="C15" s="108"/>
      <c r="D15" s="108"/>
      <c r="E15" s="108"/>
      <c r="F15" s="108"/>
      <c r="G15" s="108"/>
      <c r="H15" s="108"/>
    </row>
    <row r="16" spans="1:8" s="5" customFormat="1" ht="237.6" customHeight="1" x14ac:dyDescent="0.25">
      <c r="A16" s="12">
        <v>1</v>
      </c>
      <c r="B16" s="104" t="s">
        <v>251</v>
      </c>
      <c r="C16" s="104"/>
      <c r="D16" s="12" t="s">
        <v>10</v>
      </c>
      <c r="E16" s="12" t="s">
        <v>202</v>
      </c>
      <c r="F16" s="49">
        <v>1</v>
      </c>
      <c r="G16" s="15" t="s">
        <v>244</v>
      </c>
      <c r="H16" s="43" t="s">
        <v>257</v>
      </c>
    </row>
    <row r="17" spans="1:8" s="5" customFormat="1" ht="76.5" customHeight="1" x14ac:dyDescent="0.25">
      <c r="A17" s="12">
        <v>2</v>
      </c>
      <c r="B17" s="67" t="s">
        <v>252</v>
      </c>
      <c r="C17" s="67"/>
      <c r="D17" s="109" t="s">
        <v>10</v>
      </c>
      <c r="E17" s="12" t="s">
        <v>202</v>
      </c>
      <c r="F17" s="49">
        <v>1</v>
      </c>
      <c r="G17" s="15" t="s">
        <v>203</v>
      </c>
      <c r="H17" s="46"/>
    </row>
    <row r="18" spans="1:8" s="5" customFormat="1" ht="37.5" customHeight="1" x14ac:dyDescent="0.25">
      <c r="A18" s="12">
        <v>3</v>
      </c>
      <c r="B18" s="67" t="s">
        <v>253</v>
      </c>
      <c r="C18" s="67"/>
      <c r="D18" s="109" t="s">
        <v>10</v>
      </c>
      <c r="E18" s="12" t="s">
        <v>202</v>
      </c>
      <c r="F18" s="49">
        <v>1</v>
      </c>
      <c r="G18" s="15" t="s">
        <v>225</v>
      </c>
      <c r="H18" s="46"/>
    </row>
    <row r="19" spans="1:8" s="5" customFormat="1" ht="37.5" customHeight="1" x14ac:dyDescent="0.25">
      <c r="A19" s="12">
        <v>4</v>
      </c>
      <c r="B19" s="67" t="s">
        <v>254</v>
      </c>
      <c r="C19" s="67"/>
      <c r="D19" s="109" t="s">
        <v>10</v>
      </c>
      <c r="E19" s="12" t="s">
        <v>202</v>
      </c>
      <c r="F19" s="49">
        <v>1</v>
      </c>
      <c r="G19" s="15" t="s">
        <v>225</v>
      </c>
      <c r="H19" s="46"/>
    </row>
    <row r="20" spans="1:8" s="5" customFormat="1" ht="37.5" customHeight="1" x14ac:dyDescent="0.25">
      <c r="A20" s="12">
        <v>5</v>
      </c>
      <c r="B20" s="67" t="s">
        <v>255</v>
      </c>
      <c r="C20" s="67"/>
      <c r="D20" s="109" t="s">
        <v>10</v>
      </c>
      <c r="E20" s="12" t="s">
        <v>202</v>
      </c>
      <c r="F20" s="49">
        <v>1</v>
      </c>
      <c r="G20" s="15" t="s">
        <v>152</v>
      </c>
      <c r="H20" s="46"/>
    </row>
    <row r="21" spans="1:8" s="5" customFormat="1" ht="54" customHeight="1" x14ac:dyDescent="0.25">
      <c r="A21" s="48">
        <v>6</v>
      </c>
      <c r="B21" s="59" t="s">
        <v>186</v>
      </c>
      <c r="C21" s="59"/>
      <c r="D21" s="59"/>
      <c r="E21" s="59"/>
      <c r="F21" s="59"/>
      <c r="G21" s="59"/>
      <c r="H21" s="59"/>
    </row>
  </sheetData>
  <mergeCells count="24">
    <mergeCell ref="B8:H8"/>
    <mergeCell ref="B15:H15"/>
    <mergeCell ref="B21:H21"/>
    <mergeCell ref="B18:C18"/>
    <mergeCell ref="B19:C19"/>
    <mergeCell ref="B20:C20"/>
    <mergeCell ref="B12:C12"/>
    <mergeCell ref="B13:C13"/>
    <mergeCell ref="B14:C14"/>
    <mergeCell ref="B16:C16"/>
    <mergeCell ref="B17:C17"/>
    <mergeCell ref="B7:C7"/>
    <mergeCell ref="D7:E7"/>
    <mergeCell ref="B9:C9"/>
    <mergeCell ref="B10:C10"/>
    <mergeCell ref="B11:C11"/>
    <mergeCell ref="A2:H2"/>
    <mergeCell ref="B3:H3"/>
    <mergeCell ref="A5:A6"/>
    <mergeCell ref="B5:C6"/>
    <mergeCell ref="D5:E5"/>
    <mergeCell ref="F5:F6"/>
    <mergeCell ref="G5:G6"/>
    <mergeCell ref="H5:H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3ACC4-6B03-4564-BE6C-BBA39A054E35}">
  <dimension ref="A2:H35"/>
  <sheetViews>
    <sheetView topLeftCell="A28" workbookViewId="0">
      <selection activeCell="F34" sqref="F34"/>
    </sheetView>
  </sheetViews>
  <sheetFormatPr defaultRowHeight="15" x14ac:dyDescent="0.25"/>
  <cols>
    <col min="2" max="2" width="14.42578125" customWidth="1"/>
    <col min="3" max="3" width="37" customWidth="1"/>
    <col min="4" max="4" width="13.28515625" customWidth="1"/>
    <col min="5" max="6" width="16.140625" customWidth="1"/>
    <col min="7" max="7" width="16" customWidth="1"/>
    <col min="8" max="8" width="23.85546875" customWidth="1"/>
  </cols>
  <sheetData>
    <row r="2" spans="1:8" ht="19.5" x14ac:dyDescent="0.3">
      <c r="A2" s="69" t="s">
        <v>141</v>
      </c>
      <c r="B2" s="69"/>
      <c r="C2" s="69"/>
      <c r="D2" s="69"/>
      <c r="E2" s="69"/>
      <c r="F2" s="69"/>
      <c r="G2" s="69"/>
      <c r="H2" s="69"/>
    </row>
    <row r="3" spans="1:8" ht="45.75" customHeight="1" x14ac:dyDescent="0.3">
      <c r="A3" s="47"/>
      <c r="B3" s="70" t="s">
        <v>258</v>
      </c>
      <c r="C3" s="69"/>
      <c r="D3" s="69"/>
      <c r="E3" s="69"/>
      <c r="F3" s="69"/>
      <c r="G3" s="69"/>
      <c r="H3" s="69"/>
    </row>
    <row r="5" spans="1:8" ht="15.75" x14ac:dyDescent="0.25">
      <c r="A5" s="71" t="s">
        <v>0</v>
      </c>
      <c r="B5" s="72" t="s">
        <v>1</v>
      </c>
      <c r="C5" s="72"/>
      <c r="D5" s="73" t="s">
        <v>2</v>
      </c>
      <c r="E5" s="73"/>
      <c r="F5" s="74" t="s">
        <v>3</v>
      </c>
      <c r="G5" s="73" t="s">
        <v>52</v>
      </c>
      <c r="H5" s="74" t="s">
        <v>4</v>
      </c>
    </row>
    <row r="6" spans="1:8" ht="15.75" x14ac:dyDescent="0.25">
      <c r="A6" s="71"/>
      <c r="B6" s="72"/>
      <c r="C6" s="72"/>
      <c r="D6" s="10" t="s">
        <v>5</v>
      </c>
      <c r="E6" s="10" t="s">
        <v>6</v>
      </c>
      <c r="F6" s="75"/>
      <c r="G6" s="73"/>
      <c r="H6" s="75"/>
    </row>
    <row r="7" spans="1:8" s="105" customFormat="1" ht="31.5" x14ac:dyDescent="0.25">
      <c r="A7" s="48">
        <v>1</v>
      </c>
      <c r="B7" s="67" t="s">
        <v>216</v>
      </c>
      <c r="C7" s="67"/>
      <c r="D7" s="68" t="s">
        <v>8</v>
      </c>
      <c r="E7" s="68"/>
      <c r="F7" s="26" t="s">
        <v>259</v>
      </c>
      <c r="G7" s="12" t="s">
        <v>145</v>
      </c>
      <c r="H7" s="43" t="s">
        <v>146</v>
      </c>
    </row>
    <row r="8" spans="1:8" s="5" customFormat="1" ht="50.1" customHeight="1" x14ac:dyDescent="0.25">
      <c r="A8" s="48">
        <v>2</v>
      </c>
      <c r="B8" s="67" t="s">
        <v>260</v>
      </c>
      <c r="C8" s="67"/>
      <c r="D8" s="12" t="s">
        <v>10</v>
      </c>
      <c r="E8" s="12" t="s">
        <v>116</v>
      </c>
      <c r="F8" s="49">
        <v>1</v>
      </c>
      <c r="G8" s="15" t="s">
        <v>188</v>
      </c>
      <c r="H8" s="46"/>
    </row>
    <row r="9" spans="1:8" s="5" customFormat="1" ht="40.5" customHeight="1" x14ac:dyDescent="0.25">
      <c r="A9" s="48">
        <v>3</v>
      </c>
      <c r="B9" s="67" t="s">
        <v>155</v>
      </c>
      <c r="C9" s="67"/>
      <c r="D9" s="12" t="s">
        <v>10</v>
      </c>
      <c r="E9" s="12" t="s">
        <v>202</v>
      </c>
      <c r="F9" s="49">
        <v>1</v>
      </c>
      <c r="G9" s="15" t="s">
        <v>145</v>
      </c>
      <c r="H9" s="43" t="s">
        <v>146</v>
      </c>
    </row>
    <row r="10" spans="1:8" s="5" customFormat="1" ht="31.5" x14ac:dyDescent="0.25">
      <c r="A10" s="48">
        <v>4</v>
      </c>
      <c r="B10" s="59" t="s">
        <v>261</v>
      </c>
      <c r="C10" s="59"/>
      <c r="D10" s="12" t="s">
        <v>10</v>
      </c>
      <c r="E10" s="12" t="s">
        <v>116</v>
      </c>
      <c r="F10" s="49">
        <v>1</v>
      </c>
      <c r="G10" s="15" t="s">
        <v>152</v>
      </c>
      <c r="H10" s="46"/>
    </row>
    <row r="11" spans="1:8" s="5" customFormat="1" ht="48" customHeight="1" x14ac:dyDescent="0.25">
      <c r="A11" s="48">
        <v>5</v>
      </c>
      <c r="B11" s="59" t="s">
        <v>118</v>
      </c>
      <c r="C11" s="59"/>
      <c r="D11" s="12" t="s">
        <v>10</v>
      </c>
      <c r="E11" s="12" t="s">
        <v>202</v>
      </c>
      <c r="F11" s="49">
        <v>1</v>
      </c>
      <c r="G11" s="15" t="s">
        <v>227</v>
      </c>
      <c r="H11" s="46"/>
    </row>
    <row r="12" spans="1:8" s="5" customFormat="1" ht="48" customHeight="1" x14ac:dyDescent="0.25">
      <c r="A12" s="48">
        <v>6</v>
      </c>
      <c r="B12" s="59" t="s">
        <v>276</v>
      </c>
      <c r="C12" s="59"/>
      <c r="D12" s="12" t="s">
        <v>202</v>
      </c>
      <c r="E12" s="12" t="s">
        <v>10</v>
      </c>
      <c r="F12" s="49">
        <v>1</v>
      </c>
      <c r="G12" s="25" t="s">
        <v>277</v>
      </c>
      <c r="H12" s="46"/>
    </row>
    <row r="13" spans="1:8" s="5" customFormat="1" ht="45" customHeight="1" x14ac:dyDescent="0.25">
      <c r="A13" s="48">
        <v>7</v>
      </c>
      <c r="B13" s="59" t="s">
        <v>160</v>
      </c>
      <c r="C13" s="59"/>
      <c r="D13" s="12" t="s">
        <v>10</v>
      </c>
      <c r="E13" s="12" t="s">
        <v>202</v>
      </c>
      <c r="F13" s="49">
        <v>1</v>
      </c>
      <c r="G13" s="15" t="s">
        <v>157</v>
      </c>
      <c r="H13" s="46"/>
    </row>
    <row r="14" spans="1:8" s="105" customFormat="1" ht="31.5" x14ac:dyDescent="0.25">
      <c r="A14" s="48">
        <v>8</v>
      </c>
      <c r="B14" s="62" t="s">
        <v>279</v>
      </c>
      <c r="C14" s="63"/>
      <c r="D14" s="12" t="s">
        <v>278</v>
      </c>
      <c r="E14" s="12" t="s">
        <v>164</v>
      </c>
      <c r="F14" s="110">
        <v>1</v>
      </c>
      <c r="G14" s="25" t="s">
        <v>165</v>
      </c>
      <c r="H14" s="46"/>
    </row>
    <row r="15" spans="1:8" s="5" customFormat="1" ht="31.5" x14ac:dyDescent="0.25">
      <c r="A15" s="48">
        <v>9</v>
      </c>
      <c r="B15" s="59" t="s">
        <v>14</v>
      </c>
      <c r="C15" s="59"/>
      <c r="D15" s="12" t="s">
        <v>10</v>
      </c>
      <c r="E15" s="48" t="s">
        <v>8</v>
      </c>
      <c r="F15" s="49">
        <v>1</v>
      </c>
      <c r="G15" s="15" t="s">
        <v>161</v>
      </c>
      <c r="H15" s="43" t="s">
        <v>166</v>
      </c>
    </row>
    <row r="16" spans="1:8" s="5" customFormat="1" ht="50.45" customHeight="1" x14ac:dyDescent="0.25">
      <c r="A16" s="48">
        <v>10</v>
      </c>
      <c r="B16" s="67" t="s">
        <v>19</v>
      </c>
      <c r="C16" s="67"/>
      <c r="D16" s="12" t="s">
        <v>10</v>
      </c>
      <c r="E16" s="12" t="s">
        <v>202</v>
      </c>
      <c r="F16" s="51"/>
      <c r="G16" s="51"/>
      <c r="H16" s="59" t="s">
        <v>262</v>
      </c>
    </row>
    <row r="17" spans="1:8" s="5" customFormat="1" ht="41.1" customHeight="1" x14ac:dyDescent="0.25">
      <c r="A17" s="48">
        <v>11</v>
      </c>
      <c r="B17" s="59" t="s">
        <v>263</v>
      </c>
      <c r="C17" s="59"/>
      <c r="D17" s="12" t="s">
        <v>10</v>
      </c>
      <c r="E17" s="12" t="s">
        <v>202</v>
      </c>
      <c r="F17" s="51"/>
      <c r="G17" s="51"/>
      <c r="H17" s="59"/>
    </row>
    <row r="18" spans="1:8" s="5" customFormat="1" ht="41.1" customHeight="1" x14ac:dyDescent="0.25">
      <c r="A18" s="48">
        <v>12</v>
      </c>
      <c r="B18" s="59" t="s">
        <v>264</v>
      </c>
      <c r="C18" s="59"/>
      <c r="D18" s="12" t="s">
        <v>10</v>
      </c>
      <c r="E18" s="12" t="s">
        <v>202</v>
      </c>
      <c r="F18" s="51"/>
      <c r="G18" s="51"/>
      <c r="H18" s="59"/>
    </row>
    <row r="19" spans="1:8" s="5" customFormat="1" ht="41.1" customHeight="1" x14ac:dyDescent="0.25">
      <c r="A19" s="48">
        <v>13</v>
      </c>
      <c r="B19" s="59" t="s">
        <v>265</v>
      </c>
      <c r="C19" s="59"/>
      <c r="D19" s="12" t="s">
        <v>10</v>
      </c>
      <c r="E19" s="12" t="s">
        <v>202</v>
      </c>
      <c r="F19" s="51"/>
      <c r="G19" s="51"/>
      <c r="H19" s="59"/>
    </row>
    <row r="20" spans="1:8" s="5" customFormat="1" ht="41.1" customHeight="1" x14ac:dyDescent="0.25">
      <c r="A20" s="48">
        <v>14</v>
      </c>
      <c r="B20" s="59" t="s">
        <v>266</v>
      </c>
      <c r="C20" s="59"/>
      <c r="D20" s="12" t="s">
        <v>10</v>
      </c>
      <c r="E20" s="12" t="s">
        <v>202</v>
      </c>
      <c r="F20" s="51"/>
      <c r="G20" s="51"/>
      <c r="H20" s="59"/>
    </row>
    <row r="21" spans="1:8" s="5" customFormat="1" ht="41.1" customHeight="1" x14ac:dyDescent="0.25">
      <c r="A21" s="48">
        <v>15</v>
      </c>
      <c r="B21" s="59" t="s">
        <v>267</v>
      </c>
      <c r="C21" s="59"/>
      <c r="D21" s="12" t="s">
        <v>10</v>
      </c>
      <c r="E21" s="12" t="s">
        <v>202</v>
      </c>
      <c r="F21" s="51"/>
      <c r="G21" s="51"/>
      <c r="H21" s="59"/>
    </row>
    <row r="22" spans="1:8" s="5" customFormat="1" ht="51" customHeight="1" x14ac:dyDescent="0.25">
      <c r="A22" s="48">
        <v>16</v>
      </c>
      <c r="B22" s="67" t="s">
        <v>171</v>
      </c>
      <c r="C22" s="67"/>
      <c r="D22" s="12" t="s">
        <v>10</v>
      </c>
      <c r="E22" s="12" t="s">
        <v>202</v>
      </c>
      <c r="F22" s="51"/>
      <c r="G22" s="51"/>
      <c r="H22" s="45" t="s">
        <v>268</v>
      </c>
    </row>
    <row r="23" spans="1:8" s="5" customFormat="1" ht="33.950000000000003" customHeight="1" x14ac:dyDescent="0.25">
      <c r="A23" s="48">
        <v>17</v>
      </c>
      <c r="B23" s="59" t="s">
        <v>269</v>
      </c>
      <c r="C23" s="59"/>
      <c r="D23" s="48" t="s">
        <v>10</v>
      </c>
      <c r="E23" s="48" t="s">
        <v>8</v>
      </c>
      <c r="F23" s="49">
        <v>1</v>
      </c>
      <c r="G23" s="15" t="s">
        <v>161</v>
      </c>
      <c r="H23" s="17"/>
    </row>
    <row r="24" spans="1:8" s="5" customFormat="1" ht="39.6" customHeight="1" x14ac:dyDescent="0.25">
      <c r="A24" s="48">
        <v>18</v>
      </c>
      <c r="B24" s="59" t="s">
        <v>270</v>
      </c>
      <c r="C24" s="59"/>
      <c r="D24" s="48" t="s">
        <v>10</v>
      </c>
      <c r="E24" s="12" t="s">
        <v>214</v>
      </c>
      <c r="F24" s="51"/>
      <c r="G24" s="51"/>
      <c r="H24" s="68" t="s">
        <v>268</v>
      </c>
    </row>
    <row r="25" spans="1:8" s="5" customFormat="1" ht="47.45" customHeight="1" x14ac:dyDescent="0.25">
      <c r="A25" s="48">
        <v>19</v>
      </c>
      <c r="B25" s="67" t="s">
        <v>176</v>
      </c>
      <c r="C25" s="67"/>
      <c r="D25" s="12" t="s">
        <v>10</v>
      </c>
      <c r="E25" s="12" t="s">
        <v>202</v>
      </c>
      <c r="F25" s="51"/>
      <c r="G25" s="51"/>
      <c r="H25" s="68"/>
    </row>
    <row r="26" spans="1:8" s="5" customFormat="1" ht="47.45" customHeight="1" x14ac:dyDescent="0.25">
      <c r="A26" s="48">
        <v>20</v>
      </c>
      <c r="B26" s="59" t="s">
        <v>271</v>
      </c>
      <c r="C26" s="59"/>
      <c r="D26" s="12" t="s">
        <v>202</v>
      </c>
      <c r="E26" s="48" t="s">
        <v>10</v>
      </c>
      <c r="F26" s="51"/>
      <c r="G26" s="51"/>
      <c r="H26" s="68"/>
    </row>
    <row r="27" spans="1:8" s="5" customFormat="1" ht="229.5" customHeight="1" x14ac:dyDescent="0.25">
      <c r="A27" s="48">
        <v>21</v>
      </c>
      <c r="B27" s="59" t="s">
        <v>132</v>
      </c>
      <c r="C27" s="59"/>
      <c r="D27" s="12" t="s">
        <v>10</v>
      </c>
      <c r="E27" s="12" t="s">
        <v>202</v>
      </c>
      <c r="F27" s="51"/>
      <c r="G27" s="51"/>
      <c r="H27" s="68"/>
    </row>
    <row r="28" spans="1:8" s="5" customFormat="1" ht="102.6" customHeight="1" x14ac:dyDescent="0.25">
      <c r="A28" s="48">
        <v>22</v>
      </c>
      <c r="B28" s="59" t="s">
        <v>234</v>
      </c>
      <c r="C28" s="59"/>
      <c r="D28" s="48" t="s">
        <v>10</v>
      </c>
      <c r="E28" s="48" t="s">
        <v>8</v>
      </c>
      <c r="F28" s="51"/>
      <c r="G28" s="51"/>
      <c r="H28" s="68"/>
    </row>
    <row r="29" spans="1:8" s="5" customFormat="1" ht="47.45" customHeight="1" x14ac:dyDescent="0.25">
      <c r="A29" s="48">
        <v>23</v>
      </c>
      <c r="B29" s="59" t="s">
        <v>213</v>
      </c>
      <c r="C29" s="59"/>
      <c r="D29" s="48" t="s">
        <v>10</v>
      </c>
      <c r="E29" s="12" t="s">
        <v>272</v>
      </c>
      <c r="F29" s="51"/>
      <c r="G29" s="51"/>
      <c r="H29" s="68"/>
    </row>
    <row r="30" spans="1:8" s="5" customFormat="1" ht="47.45" customHeight="1" x14ac:dyDescent="0.25">
      <c r="A30" s="48">
        <v>24</v>
      </c>
      <c r="B30" s="67" t="s">
        <v>273</v>
      </c>
      <c r="C30" s="67"/>
      <c r="D30" s="12" t="s">
        <v>10</v>
      </c>
      <c r="E30" s="12" t="s">
        <v>116</v>
      </c>
      <c r="F30" s="51"/>
      <c r="G30" s="51"/>
      <c r="H30" s="68"/>
    </row>
    <row r="31" spans="1:8" s="5" customFormat="1" ht="47.45" customHeight="1" x14ac:dyDescent="0.25">
      <c r="A31" s="48">
        <v>25</v>
      </c>
      <c r="B31" s="59" t="s">
        <v>274</v>
      </c>
      <c r="C31" s="59"/>
      <c r="D31" s="12" t="s">
        <v>121</v>
      </c>
      <c r="E31" s="12" t="s">
        <v>116</v>
      </c>
      <c r="F31" s="51"/>
      <c r="G31" s="51"/>
      <c r="H31" s="68"/>
    </row>
    <row r="32" spans="1:8" s="5" customFormat="1" ht="47.45" customHeight="1" x14ac:dyDescent="0.25">
      <c r="A32" s="48">
        <v>26</v>
      </c>
      <c r="B32" s="67" t="s">
        <v>275</v>
      </c>
      <c r="C32" s="67"/>
      <c r="D32" s="12" t="s">
        <v>10</v>
      </c>
      <c r="E32" s="12" t="s">
        <v>116</v>
      </c>
      <c r="F32" s="51"/>
      <c r="G32" s="51"/>
      <c r="H32" s="68"/>
    </row>
    <row r="33" spans="1:8" ht="28.5" customHeight="1" x14ac:dyDescent="0.25">
      <c r="A33" s="30">
        <v>27</v>
      </c>
      <c r="B33" s="79" t="s">
        <v>179</v>
      </c>
      <c r="C33" s="79"/>
      <c r="D33" s="31" t="s">
        <v>282</v>
      </c>
      <c r="E33" s="31" t="s">
        <v>236</v>
      </c>
      <c r="F33" s="111">
        <v>1</v>
      </c>
      <c r="G33" s="32" t="s">
        <v>280</v>
      </c>
      <c r="H33" s="112"/>
    </row>
    <row r="34" spans="1:8" ht="75" customHeight="1" x14ac:dyDescent="0.25">
      <c r="A34" s="34">
        <v>27.1</v>
      </c>
      <c r="B34" s="113" t="s">
        <v>281</v>
      </c>
      <c r="C34" s="113"/>
      <c r="D34" s="35" t="s">
        <v>163</v>
      </c>
      <c r="E34" s="35" t="s">
        <v>236</v>
      </c>
      <c r="F34" s="36">
        <v>1</v>
      </c>
      <c r="G34" s="32" t="s">
        <v>280</v>
      </c>
      <c r="H34" s="112"/>
    </row>
    <row r="35" spans="1:8" s="5" customFormat="1" ht="56.45" customHeight="1" x14ac:dyDescent="0.25">
      <c r="A35" s="48"/>
      <c r="B35" s="76" t="s">
        <v>186</v>
      </c>
      <c r="C35" s="76"/>
      <c r="D35" s="76"/>
      <c r="E35" s="76"/>
      <c r="F35" s="76"/>
      <c r="G35" s="76"/>
      <c r="H35" s="76"/>
    </row>
  </sheetData>
  <mergeCells count="40">
    <mergeCell ref="B35:H35"/>
    <mergeCell ref="B12:C12"/>
    <mergeCell ref="B14:C14"/>
    <mergeCell ref="B33:C33"/>
    <mergeCell ref="B34:C34"/>
    <mergeCell ref="B24:C24"/>
    <mergeCell ref="H24:H32"/>
    <mergeCell ref="B25:C25"/>
    <mergeCell ref="B26:C26"/>
    <mergeCell ref="B27:C27"/>
    <mergeCell ref="B28:C28"/>
    <mergeCell ref="B29:C29"/>
    <mergeCell ref="B30:C30"/>
    <mergeCell ref="B31:C31"/>
    <mergeCell ref="B32:C32"/>
    <mergeCell ref="B20:C20"/>
    <mergeCell ref="B21:C21"/>
    <mergeCell ref="B22:C22"/>
    <mergeCell ref="B8:C8"/>
    <mergeCell ref="H16:H21"/>
    <mergeCell ref="B17:C17"/>
    <mergeCell ref="B23:C23"/>
    <mergeCell ref="B13:C13"/>
    <mergeCell ref="B15:C15"/>
    <mergeCell ref="B16:C16"/>
    <mergeCell ref="B18:C18"/>
    <mergeCell ref="B19:C19"/>
    <mergeCell ref="B7:C7"/>
    <mergeCell ref="D7:E7"/>
    <mergeCell ref="B9:C9"/>
    <mergeCell ref="B10:C10"/>
    <mergeCell ref="B11:C11"/>
    <mergeCell ref="A2:H2"/>
    <mergeCell ref="B3:H3"/>
    <mergeCell ref="A5:A6"/>
    <mergeCell ref="B5:C6"/>
    <mergeCell ref="D5:E5"/>
    <mergeCell ref="F5:F6"/>
    <mergeCell ref="G5:G6"/>
    <mergeCell ref="H5:H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CFBE2-856F-41D8-B7DE-890EEE02FBE0}">
  <dimension ref="A2:H25"/>
  <sheetViews>
    <sheetView topLeftCell="A7" workbookViewId="0">
      <selection activeCell="H8" sqref="H8"/>
    </sheetView>
  </sheetViews>
  <sheetFormatPr defaultRowHeight="15" x14ac:dyDescent="0.25"/>
  <cols>
    <col min="2" max="2" width="14.42578125" customWidth="1"/>
    <col min="3" max="3" width="37" customWidth="1"/>
    <col min="4" max="4" width="13.28515625" customWidth="1"/>
    <col min="5" max="6" width="16.140625" customWidth="1"/>
    <col min="7" max="7" width="16" customWidth="1"/>
    <col min="8" max="8" width="23.85546875" customWidth="1"/>
  </cols>
  <sheetData>
    <row r="2" spans="1:8" ht="19.5" x14ac:dyDescent="0.3">
      <c r="A2" s="69" t="s">
        <v>141</v>
      </c>
      <c r="B2" s="69"/>
      <c r="C2" s="69"/>
      <c r="D2" s="69"/>
      <c r="E2" s="69"/>
      <c r="F2" s="69"/>
      <c r="G2" s="69"/>
      <c r="H2" s="69"/>
    </row>
    <row r="3" spans="1:8" ht="45.75" customHeight="1" x14ac:dyDescent="0.3">
      <c r="A3" s="47"/>
      <c r="B3" s="70" t="s">
        <v>283</v>
      </c>
      <c r="C3" s="69"/>
      <c r="D3" s="69"/>
      <c r="E3" s="69"/>
      <c r="F3" s="69"/>
      <c r="G3" s="69"/>
      <c r="H3" s="69"/>
    </row>
    <row r="5" spans="1:8" ht="15.75" x14ac:dyDescent="0.25">
      <c r="A5" s="71" t="s">
        <v>0</v>
      </c>
      <c r="B5" s="72" t="s">
        <v>1</v>
      </c>
      <c r="C5" s="72"/>
      <c r="D5" s="73" t="s">
        <v>2</v>
      </c>
      <c r="E5" s="73"/>
      <c r="F5" s="74" t="s">
        <v>3</v>
      </c>
      <c r="G5" s="73" t="s">
        <v>52</v>
      </c>
      <c r="H5" s="74" t="s">
        <v>4</v>
      </c>
    </row>
    <row r="6" spans="1:8" ht="15.75" x14ac:dyDescent="0.25">
      <c r="A6" s="71"/>
      <c r="B6" s="72"/>
      <c r="C6" s="72"/>
      <c r="D6" s="10" t="s">
        <v>5</v>
      </c>
      <c r="E6" s="10" t="s">
        <v>6</v>
      </c>
      <c r="F6" s="75"/>
      <c r="G6" s="73"/>
      <c r="H6" s="75"/>
    </row>
    <row r="7" spans="1:8" s="105" customFormat="1" ht="15.75" x14ac:dyDescent="0.25">
      <c r="A7" s="48">
        <v>1</v>
      </c>
      <c r="B7" s="67" t="s">
        <v>216</v>
      </c>
      <c r="C7" s="67"/>
      <c r="D7" s="68" t="s">
        <v>8</v>
      </c>
      <c r="E7" s="68"/>
      <c r="F7" s="26"/>
      <c r="G7" s="12"/>
      <c r="H7" s="43"/>
    </row>
    <row r="8" spans="1:8" s="5" customFormat="1" ht="71.099999999999994" customHeight="1" x14ac:dyDescent="0.25">
      <c r="A8" s="48">
        <v>2</v>
      </c>
      <c r="B8" s="59" t="s">
        <v>284</v>
      </c>
      <c r="C8" s="59"/>
      <c r="D8" s="12" t="s">
        <v>10</v>
      </c>
      <c r="E8" s="12" t="s">
        <v>285</v>
      </c>
      <c r="F8" s="36">
        <v>1</v>
      </c>
      <c r="G8" s="12" t="s">
        <v>244</v>
      </c>
      <c r="H8" s="43" t="s">
        <v>146</v>
      </c>
    </row>
    <row r="9" spans="1:8" s="5" customFormat="1" ht="48.95" customHeight="1" x14ac:dyDescent="0.25">
      <c r="A9" s="48">
        <v>3</v>
      </c>
      <c r="B9" s="66" t="s">
        <v>286</v>
      </c>
      <c r="C9" s="66"/>
      <c r="D9" s="12" t="s">
        <v>10</v>
      </c>
      <c r="E9" s="12" t="s">
        <v>8</v>
      </c>
      <c r="F9" s="36">
        <v>1</v>
      </c>
      <c r="G9" s="12" t="s">
        <v>225</v>
      </c>
      <c r="H9" s="46"/>
    </row>
    <row r="10" spans="1:8" s="5" customFormat="1" ht="126" x14ac:dyDescent="0.25">
      <c r="A10" s="48">
        <v>4</v>
      </c>
      <c r="B10" s="66" t="s">
        <v>287</v>
      </c>
      <c r="C10" s="66"/>
      <c r="D10" s="12" t="s">
        <v>10</v>
      </c>
      <c r="E10" s="12" t="s">
        <v>116</v>
      </c>
      <c r="F10" s="36">
        <v>1</v>
      </c>
      <c r="G10" s="12" t="s">
        <v>198</v>
      </c>
      <c r="H10" s="43" t="s">
        <v>300</v>
      </c>
    </row>
    <row r="11" spans="1:8" s="5" customFormat="1" ht="31.5" x14ac:dyDescent="0.25">
      <c r="A11" s="48">
        <v>5</v>
      </c>
      <c r="B11" s="66" t="s">
        <v>288</v>
      </c>
      <c r="C11" s="66"/>
      <c r="D11" s="12" t="s">
        <v>10</v>
      </c>
      <c r="E11" s="12" t="s">
        <v>116</v>
      </c>
      <c r="F11" s="36">
        <v>1</v>
      </c>
      <c r="G11" s="12" t="s">
        <v>244</v>
      </c>
      <c r="H11" s="43" t="s">
        <v>146</v>
      </c>
    </row>
    <row r="12" spans="1:8" s="5" customFormat="1" ht="75" customHeight="1" x14ac:dyDescent="0.25">
      <c r="A12" s="48">
        <v>6</v>
      </c>
      <c r="B12" s="66" t="s">
        <v>289</v>
      </c>
      <c r="C12" s="66"/>
      <c r="D12" s="12" t="s">
        <v>10</v>
      </c>
      <c r="E12" s="12" t="s">
        <v>116</v>
      </c>
      <c r="F12" s="36">
        <v>1</v>
      </c>
      <c r="G12" s="12" t="s">
        <v>225</v>
      </c>
      <c r="H12" s="46"/>
    </row>
    <row r="13" spans="1:8" s="5" customFormat="1" ht="31.5" x14ac:dyDescent="0.25">
      <c r="A13" s="48">
        <v>7</v>
      </c>
      <c r="B13" s="66" t="s">
        <v>290</v>
      </c>
      <c r="C13" s="66"/>
      <c r="D13" s="12" t="s">
        <v>10</v>
      </c>
      <c r="E13" s="12" t="s">
        <v>116</v>
      </c>
      <c r="F13" s="36">
        <v>1</v>
      </c>
      <c r="G13" s="12" t="s">
        <v>188</v>
      </c>
      <c r="H13" s="46"/>
    </row>
    <row r="14" spans="1:8" s="5" customFormat="1" ht="45.95" customHeight="1" x14ac:dyDescent="0.25">
      <c r="A14" s="48">
        <v>8</v>
      </c>
      <c r="B14" s="66" t="s">
        <v>291</v>
      </c>
      <c r="C14" s="66"/>
      <c r="D14" s="12" t="s">
        <v>10</v>
      </c>
      <c r="E14" s="12" t="s">
        <v>116</v>
      </c>
      <c r="F14" s="36">
        <v>1</v>
      </c>
      <c r="G14" s="12" t="s">
        <v>227</v>
      </c>
      <c r="H14" s="46"/>
    </row>
    <row r="15" spans="1:8" s="5" customFormat="1" ht="31.5" x14ac:dyDescent="0.25">
      <c r="A15" s="48">
        <v>9</v>
      </c>
      <c r="B15" s="66" t="s">
        <v>292</v>
      </c>
      <c r="C15" s="66"/>
      <c r="D15" s="12" t="s">
        <v>10</v>
      </c>
      <c r="E15" s="12" t="s">
        <v>293</v>
      </c>
      <c r="F15" s="36">
        <v>1</v>
      </c>
      <c r="G15" s="12" t="s">
        <v>154</v>
      </c>
      <c r="H15" s="46"/>
    </row>
    <row r="16" spans="1:8" s="117" customFormat="1" ht="38.1" customHeight="1" x14ac:dyDescent="0.25">
      <c r="A16" s="48">
        <v>10</v>
      </c>
      <c r="B16" s="66" t="s">
        <v>294</v>
      </c>
      <c r="C16" s="66"/>
      <c r="D16" s="115" t="s">
        <v>10</v>
      </c>
      <c r="E16" s="115" t="s">
        <v>8</v>
      </c>
      <c r="F16" s="36">
        <v>1</v>
      </c>
      <c r="G16" s="115" t="s">
        <v>187</v>
      </c>
      <c r="H16" s="116"/>
    </row>
    <row r="17" spans="1:8" s="117" customFormat="1" ht="31.5" x14ac:dyDescent="0.25">
      <c r="A17" s="48">
        <v>11</v>
      </c>
      <c r="B17" s="66" t="s">
        <v>295</v>
      </c>
      <c r="C17" s="66"/>
      <c r="D17" s="115" t="s">
        <v>10</v>
      </c>
      <c r="E17" s="115" t="s">
        <v>293</v>
      </c>
      <c r="F17" s="36">
        <v>1</v>
      </c>
      <c r="G17" s="115" t="s">
        <v>157</v>
      </c>
      <c r="H17" s="116"/>
    </row>
    <row r="18" spans="1:8" s="5" customFormat="1" ht="32.1" customHeight="1" x14ac:dyDescent="0.25">
      <c r="A18" s="48">
        <v>12</v>
      </c>
      <c r="B18" s="62" t="s">
        <v>296</v>
      </c>
      <c r="C18" s="63"/>
      <c r="D18" s="12" t="s">
        <v>10</v>
      </c>
      <c r="E18" s="12" t="s">
        <v>293</v>
      </c>
      <c r="F18" s="12"/>
      <c r="G18" s="12"/>
      <c r="H18" s="64" t="s">
        <v>168</v>
      </c>
    </row>
    <row r="19" spans="1:8" s="5" customFormat="1" ht="32.1" customHeight="1" x14ac:dyDescent="0.25">
      <c r="A19" s="48">
        <v>13</v>
      </c>
      <c r="B19" s="62" t="s">
        <v>297</v>
      </c>
      <c r="C19" s="63"/>
      <c r="D19" s="12" t="s">
        <v>10</v>
      </c>
      <c r="E19" s="12" t="s">
        <v>293</v>
      </c>
      <c r="F19" s="12"/>
      <c r="G19" s="12"/>
      <c r="H19" s="65"/>
    </row>
    <row r="20" spans="1:8" s="5" customFormat="1" ht="32.1" customHeight="1" x14ac:dyDescent="0.25">
      <c r="A20" s="48">
        <v>14</v>
      </c>
      <c r="B20" s="62" t="s">
        <v>298</v>
      </c>
      <c r="C20" s="63"/>
      <c r="D20" s="12" t="s">
        <v>10</v>
      </c>
      <c r="E20" s="12" t="s">
        <v>8</v>
      </c>
      <c r="F20" s="12"/>
      <c r="G20" s="12"/>
      <c r="H20" s="101"/>
    </row>
    <row r="21" spans="1:8" s="8" customFormat="1" ht="57" customHeight="1" x14ac:dyDescent="0.25">
      <c r="A21" s="48">
        <v>15</v>
      </c>
      <c r="B21" s="60" t="s">
        <v>235</v>
      </c>
      <c r="C21" s="61"/>
      <c r="D21" s="12" t="s">
        <v>163</v>
      </c>
      <c r="E21" s="26" t="s">
        <v>236</v>
      </c>
      <c r="F21" s="49">
        <v>1</v>
      </c>
      <c r="G21" s="25" t="s">
        <v>237</v>
      </c>
      <c r="H21" s="43"/>
    </row>
    <row r="22" spans="1:8" s="5" customFormat="1" ht="35.450000000000003" customHeight="1" x14ac:dyDescent="0.25">
      <c r="A22" s="48">
        <v>16</v>
      </c>
      <c r="B22" s="62" t="s">
        <v>299</v>
      </c>
      <c r="C22" s="63"/>
      <c r="D22" s="12" t="s">
        <v>10</v>
      </c>
      <c r="E22" s="12" t="s">
        <v>293</v>
      </c>
      <c r="F22" s="12"/>
      <c r="G22" s="12"/>
      <c r="H22" s="12" t="s">
        <v>168</v>
      </c>
    </row>
    <row r="23" spans="1:8" ht="28.5" customHeight="1" x14ac:dyDescent="0.25">
      <c r="A23" s="48">
        <v>17</v>
      </c>
      <c r="B23" s="79" t="s">
        <v>179</v>
      </c>
      <c r="C23" s="79"/>
      <c r="D23" s="31" t="s">
        <v>163</v>
      </c>
      <c r="E23" s="31" t="s">
        <v>236</v>
      </c>
      <c r="F23" s="111">
        <v>1</v>
      </c>
      <c r="G23" s="32" t="s">
        <v>301</v>
      </c>
      <c r="H23" s="40"/>
    </row>
    <row r="24" spans="1:8" ht="75" customHeight="1" x14ac:dyDescent="0.25">
      <c r="A24" s="34">
        <v>17.100000000000001</v>
      </c>
      <c r="B24" s="80" t="s">
        <v>302</v>
      </c>
      <c r="C24" s="80"/>
      <c r="D24" s="35" t="s">
        <v>163</v>
      </c>
      <c r="E24" s="35" t="s">
        <v>236</v>
      </c>
      <c r="F24" s="36">
        <v>1</v>
      </c>
      <c r="G24" s="32" t="s">
        <v>301</v>
      </c>
      <c r="H24" s="40"/>
    </row>
    <row r="25" spans="1:8" s="5" customFormat="1" ht="51" customHeight="1" x14ac:dyDescent="0.25">
      <c r="A25" s="48">
        <v>15</v>
      </c>
      <c r="B25" s="59" t="s">
        <v>186</v>
      </c>
      <c r="C25" s="59"/>
      <c r="D25" s="59"/>
      <c r="E25" s="59"/>
      <c r="F25" s="59"/>
      <c r="G25" s="59"/>
      <c r="H25" s="59"/>
    </row>
  </sheetData>
  <mergeCells count="29">
    <mergeCell ref="B25:H25"/>
    <mergeCell ref="B21:C21"/>
    <mergeCell ref="B20:C20"/>
    <mergeCell ref="B19:C19"/>
    <mergeCell ref="B22:C22"/>
    <mergeCell ref="B18:C18"/>
    <mergeCell ref="H18:H20"/>
    <mergeCell ref="B24:C24"/>
    <mergeCell ref="B23:C23"/>
    <mergeCell ref="B12:C12"/>
    <mergeCell ref="B13:C13"/>
    <mergeCell ref="B14:C14"/>
    <mergeCell ref="B15:C15"/>
    <mergeCell ref="B16:C16"/>
    <mergeCell ref="B17:C17"/>
    <mergeCell ref="B7:C7"/>
    <mergeCell ref="D7:E7"/>
    <mergeCell ref="B8:C8"/>
    <mergeCell ref="B9:C9"/>
    <mergeCell ref="B10:C10"/>
    <mergeCell ref="B11:C11"/>
    <mergeCell ref="A2:H2"/>
    <mergeCell ref="B3:H3"/>
    <mergeCell ref="A5:A6"/>
    <mergeCell ref="B5:C6"/>
    <mergeCell ref="D5:E5"/>
    <mergeCell ref="F5:F6"/>
    <mergeCell ref="G5:G6"/>
    <mergeCell ref="H5:H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6AADF-928B-45F6-B7E6-84F5F8993865}">
  <dimension ref="A2:H24"/>
  <sheetViews>
    <sheetView workbookViewId="0">
      <selection activeCell="F8" sqref="F8"/>
    </sheetView>
  </sheetViews>
  <sheetFormatPr defaultRowHeight="15" x14ac:dyDescent="0.25"/>
  <cols>
    <col min="2" max="2" width="14.42578125" customWidth="1"/>
    <col min="3" max="3" width="37" customWidth="1"/>
    <col min="4" max="4" width="13.28515625" customWidth="1"/>
    <col min="5" max="6" width="16.140625" customWidth="1"/>
    <col min="7" max="7" width="16" customWidth="1"/>
    <col min="8" max="8" width="23.85546875" customWidth="1"/>
  </cols>
  <sheetData>
    <row r="2" spans="1:8" ht="19.5" x14ac:dyDescent="0.3">
      <c r="A2" s="69" t="s">
        <v>141</v>
      </c>
      <c r="B2" s="69"/>
      <c r="C2" s="69"/>
      <c r="D2" s="69"/>
      <c r="E2" s="69"/>
      <c r="F2" s="69"/>
      <c r="G2" s="69"/>
      <c r="H2" s="69"/>
    </row>
    <row r="3" spans="1:8" ht="45.75" customHeight="1" x14ac:dyDescent="0.3">
      <c r="A3" s="47"/>
      <c r="B3" s="70" t="s">
        <v>303</v>
      </c>
      <c r="C3" s="69"/>
      <c r="D3" s="69"/>
      <c r="E3" s="69"/>
      <c r="F3" s="69"/>
      <c r="G3" s="69"/>
      <c r="H3" s="69"/>
    </row>
    <row r="5" spans="1:8" ht="15.75" x14ac:dyDescent="0.25">
      <c r="A5" s="71" t="s">
        <v>0</v>
      </c>
      <c r="B5" s="72" t="s">
        <v>1</v>
      </c>
      <c r="C5" s="72"/>
      <c r="D5" s="73" t="s">
        <v>2</v>
      </c>
      <c r="E5" s="73"/>
      <c r="F5" s="74" t="s">
        <v>3</v>
      </c>
      <c r="G5" s="73" t="s">
        <v>52</v>
      </c>
      <c r="H5" s="74" t="s">
        <v>4</v>
      </c>
    </row>
    <row r="6" spans="1:8" ht="15.75" x14ac:dyDescent="0.25">
      <c r="A6" s="71"/>
      <c r="B6" s="72"/>
      <c r="C6" s="72"/>
      <c r="D6" s="10" t="s">
        <v>5</v>
      </c>
      <c r="E6" s="10" t="s">
        <v>6</v>
      </c>
      <c r="F6" s="75"/>
      <c r="G6" s="73"/>
      <c r="H6" s="75"/>
    </row>
    <row r="7" spans="1:8" s="105" customFormat="1" ht="15.75" x14ac:dyDescent="0.25">
      <c r="A7" s="48">
        <v>1</v>
      </c>
      <c r="B7" s="67" t="s">
        <v>216</v>
      </c>
      <c r="C7" s="67"/>
      <c r="D7" s="68" t="s">
        <v>8</v>
      </c>
      <c r="E7" s="68"/>
      <c r="F7" s="26"/>
      <c r="G7" s="12"/>
      <c r="H7" s="43"/>
    </row>
    <row r="8" spans="1:8" s="5" customFormat="1" ht="60.6" customHeight="1" x14ac:dyDescent="0.25">
      <c r="A8" s="48">
        <v>2</v>
      </c>
      <c r="B8" s="59" t="s">
        <v>284</v>
      </c>
      <c r="C8" s="59"/>
      <c r="D8" s="12" t="s">
        <v>10</v>
      </c>
      <c r="E8" s="12" t="s">
        <v>285</v>
      </c>
      <c r="F8" s="36">
        <v>1</v>
      </c>
      <c r="G8" s="12" t="s">
        <v>244</v>
      </c>
      <c r="H8" s="43" t="s">
        <v>146</v>
      </c>
    </row>
    <row r="9" spans="1:8" s="5" customFormat="1" ht="57.6" customHeight="1" x14ac:dyDescent="0.25">
      <c r="A9" s="48">
        <v>3</v>
      </c>
      <c r="B9" s="114" t="s">
        <v>286</v>
      </c>
      <c r="C9" s="114"/>
      <c r="D9" s="12" t="s">
        <v>10</v>
      </c>
      <c r="E9" s="12" t="s">
        <v>8</v>
      </c>
      <c r="F9" s="36">
        <v>1</v>
      </c>
      <c r="G9" s="12" t="s">
        <v>225</v>
      </c>
      <c r="H9" s="46"/>
    </row>
    <row r="10" spans="1:8" s="5" customFormat="1" ht="126" x14ac:dyDescent="0.25">
      <c r="A10" s="48">
        <v>4</v>
      </c>
      <c r="B10" s="114" t="s">
        <v>287</v>
      </c>
      <c r="C10" s="114"/>
      <c r="D10" s="12" t="s">
        <v>10</v>
      </c>
      <c r="E10" s="12" t="s">
        <v>116</v>
      </c>
      <c r="F10" s="36">
        <v>1</v>
      </c>
      <c r="G10" s="12" t="s">
        <v>198</v>
      </c>
      <c r="H10" s="43" t="s">
        <v>300</v>
      </c>
    </row>
    <row r="11" spans="1:8" s="5" customFormat="1" ht="39" customHeight="1" x14ac:dyDescent="0.25">
      <c r="A11" s="48">
        <v>5</v>
      </c>
      <c r="B11" s="59" t="s">
        <v>288</v>
      </c>
      <c r="C11" s="59"/>
      <c r="D11" s="12" t="s">
        <v>10</v>
      </c>
      <c r="E11" s="12" t="s">
        <v>116</v>
      </c>
      <c r="F11" s="36">
        <v>1</v>
      </c>
      <c r="G11" s="12" t="s">
        <v>244</v>
      </c>
      <c r="H11" s="43" t="s">
        <v>146</v>
      </c>
    </row>
    <row r="12" spans="1:8" s="5" customFormat="1" ht="161.1" customHeight="1" x14ac:dyDescent="0.25">
      <c r="A12" s="48">
        <v>6</v>
      </c>
      <c r="B12" s="114" t="s">
        <v>289</v>
      </c>
      <c r="C12" s="114"/>
      <c r="D12" s="12" t="s">
        <v>10</v>
      </c>
      <c r="E12" s="12" t="s">
        <v>116</v>
      </c>
      <c r="F12" s="36">
        <v>1</v>
      </c>
      <c r="G12" s="12" t="s">
        <v>225</v>
      </c>
      <c r="H12" s="46"/>
    </row>
    <row r="13" spans="1:8" s="5" customFormat="1" ht="33.950000000000003" customHeight="1" x14ac:dyDescent="0.25">
      <c r="A13" s="48">
        <v>7</v>
      </c>
      <c r="B13" s="59" t="s">
        <v>290</v>
      </c>
      <c r="C13" s="59"/>
      <c r="D13" s="12" t="s">
        <v>10</v>
      </c>
      <c r="E13" s="12" t="s">
        <v>116</v>
      </c>
      <c r="F13" s="36">
        <v>1</v>
      </c>
      <c r="G13" s="12" t="s">
        <v>188</v>
      </c>
      <c r="H13" s="46"/>
    </row>
    <row r="14" spans="1:8" s="5" customFormat="1" ht="34.5" customHeight="1" x14ac:dyDescent="0.25">
      <c r="A14" s="48">
        <v>8</v>
      </c>
      <c r="B14" s="59" t="s">
        <v>291</v>
      </c>
      <c r="C14" s="59"/>
      <c r="D14" s="12" t="s">
        <v>10</v>
      </c>
      <c r="E14" s="12" t="s">
        <v>116</v>
      </c>
      <c r="F14" s="36">
        <v>1</v>
      </c>
      <c r="G14" s="12" t="s">
        <v>227</v>
      </c>
      <c r="H14" s="46"/>
    </row>
    <row r="15" spans="1:8" s="5" customFormat="1" ht="31.5" x14ac:dyDescent="0.25">
      <c r="A15" s="48">
        <v>9</v>
      </c>
      <c r="B15" s="59" t="s">
        <v>292</v>
      </c>
      <c r="C15" s="59"/>
      <c r="D15" s="12" t="s">
        <v>10</v>
      </c>
      <c r="E15" s="12" t="s">
        <v>293</v>
      </c>
      <c r="F15" s="36">
        <v>1</v>
      </c>
      <c r="G15" s="12" t="s">
        <v>154</v>
      </c>
      <c r="H15" s="46"/>
    </row>
    <row r="16" spans="1:8" s="5" customFormat="1" ht="31.5" x14ac:dyDescent="0.25">
      <c r="A16" s="48">
        <v>10</v>
      </c>
      <c r="B16" s="114" t="s">
        <v>294</v>
      </c>
      <c r="C16" s="114"/>
      <c r="D16" s="12" t="s">
        <v>10</v>
      </c>
      <c r="E16" s="12" t="s">
        <v>8</v>
      </c>
      <c r="F16" s="36">
        <v>1</v>
      </c>
      <c r="G16" s="12" t="s">
        <v>187</v>
      </c>
      <c r="H16" s="46"/>
    </row>
    <row r="17" spans="1:8" s="5" customFormat="1" ht="31.5" x14ac:dyDescent="0.25">
      <c r="A17" s="48">
        <v>11</v>
      </c>
      <c r="B17" s="114" t="s">
        <v>295</v>
      </c>
      <c r="C17" s="114"/>
      <c r="D17" s="12" t="s">
        <v>10</v>
      </c>
      <c r="E17" s="12" t="s">
        <v>293</v>
      </c>
      <c r="F17" s="36">
        <v>1</v>
      </c>
      <c r="G17" s="12" t="s">
        <v>157</v>
      </c>
      <c r="H17" s="46"/>
    </row>
    <row r="18" spans="1:8" s="5" customFormat="1" ht="34.5" customHeight="1" x14ac:dyDescent="0.25">
      <c r="A18" s="48">
        <v>12</v>
      </c>
      <c r="B18" s="59" t="s">
        <v>296</v>
      </c>
      <c r="C18" s="59"/>
      <c r="D18" s="12" t="s">
        <v>10</v>
      </c>
      <c r="E18" s="12" t="s">
        <v>293</v>
      </c>
      <c r="F18" s="12"/>
      <c r="G18" s="12"/>
      <c r="H18" s="64" t="s">
        <v>168</v>
      </c>
    </row>
    <row r="19" spans="1:8" s="5" customFormat="1" ht="34.5" customHeight="1" x14ac:dyDescent="0.25">
      <c r="A19" s="48">
        <v>13</v>
      </c>
      <c r="B19" s="59" t="s">
        <v>297</v>
      </c>
      <c r="C19" s="59"/>
      <c r="D19" s="12" t="s">
        <v>10</v>
      </c>
      <c r="E19" s="12" t="s">
        <v>293</v>
      </c>
      <c r="F19" s="12"/>
      <c r="G19" s="12"/>
      <c r="H19" s="65"/>
    </row>
    <row r="20" spans="1:8" s="5" customFormat="1" ht="34.5" customHeight="1" x14ac:dyDescent="0.25">
      <c r="A20" s="48">
        <v>14</v>
      </c>
      <c r="B20" s="59" t="s">
        <v>298</v>
      </c>
      <c r="C20" s="59"/>
      <c r="D20" s="12" t="s">
        <v>10</v>
      </c>
      <c r="E20" s="12" t="s">
        <v>8</v>
      </c>
      <c r="F20" s="12"/>
      <c r="G20" s="12"/>
      <c r="H20" s="65"/>
    </row>
    <row r="21" spans="1:8" s="5" customFormat="1" ht="57.75" customHeight="1" x14ac:dyDescent="0.25">
      <c r="A21" s="48">
        <v>15</v>
      </c>
      <c r="B21" s="59" t="s">
        <v>299</v>
      </c>
      <c r="C21" s="59"/>
      <c r="D21" s="12" t="s">
        <v>10</v>
      </c>
      <c r="E21" s="12" t="s">
        <v>293</v>
      </c>
      <c r="F21" s="12"/>
      <c r="G21" s="12"/>
      <c r="H21" s="101"/>
    </row>
    <row r="22" spans="1:8" ht="28.5" customHeight="1" x14ac:dyDescent="0.25">
      <c r="A22" s="48">
        <v>16</v>
      </c>
      <c r="B22" s="79" t="s">
        <v>304</v>
      </c>
      <c r="C22" s="79"/>
      <c r="D22" s="31" t="s">
        <v>163</v>
      </c>
      <c r="E22" s="31" t="s">
        <v>236</v>
      </c>
      <c r="F22" s="111">
        <v>1</v>
      </c>
      <c r="G22" s="32" t="s">
        <v>106</v>
      </c>
      <c r="H22" s="112"/>
    </row>
    <row r="23" spans="1:8" ht="75" customHeight="1" x14ac:dyDescent="0.25">
      <c r="A23" s="34">
        <v>16.100000000000001</v>
      </c>
      <c r="B23" s="80" t="s">
        <v>305</v>
      </c>
      <c r="C23" s="80"/>
      <c r="D23" s="35" t="s">
        <v>163</v>
      </c>
      <c r="E23" s="35" t="s">
        <v>236</v>
      </c>
      <c r="F23" s="36">
        <v>1</v>
      </c>
      <c r="G23" s="32" t="s">
        <v>125</v>
      </c>
      <c r="H23" s="112">
        <v>0</v>
      </c>
    </row>
    <row r="24" spans="1:8" ht="75" customHeight="1" x14ac:dyDescent="0.25">
      <c r="A24" s="34">
        <v>16.2</v>
      </c>
      <c r="B24" s="80" t="s">
        <v>306</v>
      </c>
      <c r="C24" s="80"/>
      <c r="D24" s="35" t="s">
        <v>163</v>
      </c>
      <c r="E24" s="35" t="s">
        <v>236</v>
      </c>
      <c r="F24" s="36">
        <v>1</v>
      </c>
      <c r="G24" s="32" t="s">
        <v>307</v>
      </c>
      <c r="H24" s="112">
        <v>0</v>
      </c>
    </row>
  </sheetData>
  <mergeCells count="28">
    <mergeCell ref="H18:H21"/>
    <mergeCell ref="B22:C22"/>
    <mergeCell ref="B23:C23"/>
    <mergeCell ref="B24:C24"/>
    <mergeCell ref="B18:C18"/>
    <mergeCell ref="B19:C19"/>
    <mergeCell ref="B20:C20"/>
    <mergeCell ref="B21:C21"/>
    <mergeCell ref="B12:C12"/>
    <mergeCell ref="B13:C13"/>
    <mergeCell ref="B14:C14"/>
    <mergeCell ref="B15:C15"/>
    <mergeCell ref="B16:C16"/>
    <mergeCell ref="B17:C17"/>
    <mergeCell ref="B7:C7"/>
    <mergeCell ref="D7:E7"/>
    <mergeCell ref="B8:C8"/>
    <mergeCell ref="B9:C9"/>
    <mergeCell ref="B10:C10"/>
    <mergeCell ref="B11:C11"/>
    <mergeCell ref="A2:H2"/>
    <mergeCell ref="B3:H3"/>
    <mergeCell ref="A5:A6"/>
    <mergeCell ref="B5:C6"/>
    <mergeCell ref="D5:E5"/>
    <mergeCell ref="F5:F6"/>
    <mergeCell ref="G5:G6"/>
    <mergeCell ref="H5:H6"/>
  </mergeCells>
  <phoneticPr fontId="19"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D8C67-9C12-4961-AF9F-6C23C5DC770C}">
  <dimension ref="A2:H30"/>
  <sheetViews>
    <sheetView tabSelected="1" topLeftCell="A7" workbookViewId="0">
      <selection activeCell="P10" sqref="P10"/>
    </sheetView>
  </sheetViews>
  <sheetFormatPr defaultRowHeight="15" x14ac:dyDescent="0.25"/>
  <cols>
    <col min="2" max="2" width="14.42578125" customWidth="1"/>
    <col min="3" max="3" width="37" customWidth="1"/>
    <col min="4" max="4" width="13.28515625" customWidth="1"/>
    <col min="5" max="6" width="16.140625" customWidth="1"/>
    <col min="7" max="7" width="16" customWidth="1"/>
    <col min="8" max="8" width="23.85546875" customWidth="1"/>
  </cols>
  <sheetData>
    <row r="2" spans="1:8" ht="19.5" x14ac:dyDescent="0.3">
      <c r="A2" s="69" t="s">
        <v>141</v>
      </c>
      <c r="B2" s="69"/>
      <c r="C2" s="69"/>
      <c r="D2" s="69"/>
      <c r="E2" s="69"/>
      <c r="F2" s="69"/>
      <c r="G2" s="69"/>
      <c r="H2" s="69"/>
    </row>
    <row r="3" spans="1:8" ht="45.75" customHeight="1" x14ac:dyDescent="0.3">
      <c r="A3" s="47"/>
      <c r="B3" s="70" t="s">
        <v>308</v>
      </c>
      <c r="C3" s="69"/>
      <c r="D3" s="69"/>
      <c r="E3" s="69"/>
      <c r="F3" s="69"/>
      <c r="G3" s="69"/>
      <c r="H3" s="69"/>
    </row>
    <row r="5" spans="1:8" ht="15.75" x14ac:dyDescent="0.25">
      <c r="A5" s="71" t="s">
        <v>0</v>
      </c>
      <c r="B5" s="72" t="s">
        <v>1</v>
      </c>
      <c r="C5" s="72"/>
      <c r="D5" s="73" t="s">
        <v>2</v>
      </c>
      <c r="E5" s="73"/>
      <c r="F5" s="74" t="s">
        <v>3</v>
      </c>
      <c r="G5" s="73" t="s">
        <v>52</v>
      </c>
      <c r="H5" s="74" t="s">
        <v>4</v>
      </c>
    </row>
    <row r="6" spans="1:8" ht="15.75" x14ac:dyDescent="0.25">
      <c r="A6" s="71"/>
      <c r="B6" s="72"/>
      <c r="C6" s="72"/>
      <c r="D6" s="10" t="s">
        <v>5</v>
      </c>
      <c r="E6" s="10" t="s">
        <v>6</v>
      </c>
      <c r="F6" s="75"/>
      <c r="G6" s="73"/>
      <c r="H6" s="75"/>
    </row>
    <row r="7" spans="1:8" s="105" customFormat="1" ht="31.5" x14ac:dyDescent="0.25">
      <c r="A7" s="48">
        <v>1</v>
      </c>
      <c r="B7" s="67" t="s">
        <v>216</v>
      </c>
      <c r="C7" s="67"/>
      <c r="D7" s="68" t="s">
        <v>8</v>
      </c>
      <c r="E7" s="68"/>
      <c r="F7" s="26" t="s">
        <v>309</v>
      </c>
      <c r="G7" s="12" t="s">
        <v>161</v>
      </c>
      <c r="H7" s="43"/>
    </row>
    <row r="8" spans="1:8" s="5" customFormat="1" ht="97.5" customHeight="1" x14ac:dyDescent="0.25">
      <c r="A8" s="48">
        <v>2</v>
      </c>
      <c r="B8" s="118" t="s">
        <v>148</v>
      </c>
      <c r="C8" s="118"/>
      <c r="D8" s="12" t="s">
        <v>10</v>
      </c>
      <c r="E8" s="12" t="s">
        <v>116</v>
      </c>
      <c r="F8" s="36">
        <v>1</v>
      </c>
      <c r="G8" s="12" t="s">
        <v>310</v>
      </c>
      <c r="H8" s="43" t="s">
        <v>146</v>
      </c>
    </row>
    <row r="9" spans="1:8" s="5" customFormat="1" ht="81.95" customHeight="1" x14ac:dyDescent="0.25">
      <c r="A9" s="48">
        <v>3</v>
      </c>
      <c r="B9" s="118" t="s">
        <v>151</v>
      </c>
      <c r="C9" s="118"/>
      <c r="D9" s="12" t="s">
        <v>10</v>
      </c>
      <c r="E9" s="12" t="s">
        <v>15</v>
      </c>
      <c r="F9" s="36">
        <v>1</v>
      </c>
      <c r="G9" s="12" t="s">
        <v>311</v>
      </c>
      <c r="H9" s="46"/>
    </row>
    <row r="10" spans="1:8" s="5" customFormat="1" ht="134.1" customHeight="1" x14ac:dyDescent="0.25">
      <c r="A10" s="48">
        <v>4</v>
      </c>
      <c r="B10" s="118" t="s">
        <v>153</v>
      </c>
      <c r="C10" s="118"/>
      <c r="D10" s="12" t="s">
        <v>10</v>
      </c>
      <c r="E10" s="12" t="s">
        <v>116</v>
      </c>
      <c r="F10" s="36">
        <v>1</v>
      </c>
      <c r="G10" s="12" t="s">
        <v>312</v>
      </c>
      <c r="H10" s="46"/>
    </row>
    <row r="11" spans="1:8" s="5" customFormat="1" ht="44.25" customHeight="1" x14ac:dyDescent="0.25">
      <c r="A11" s="48">
        <v>5</v>
      </c>
      <c r="B11" s="59" t="s">
        <v>155</v>
      </c>
      <c r="C11" s="59"/>
      <c r="D11" s="12" t="s">
        <v>10</v>
      </c>
      <c r="E11" s="12" t="s">
        <v>202</v>
      </c>
      <c r="F11" s="36">
        <v>1</v>
      </c>
      <c r="G11" s="12" t="s">
        <v>310</v>
      </c>
      <c r="H11" s="43" t="s">
        <v>146</v>
      </c>
    </row>
    <row r="12" spans="1:8" s="5" customFormat="1" ht="15.75" x14ac:dyDescent="0.25">
      <c r="A12" s="48">
        <v>6</v>
      </c>
      <c r="B12" s="59" t="s">
        <v>318</v>
      </c>
      <c r="C12" s="59"/>
      <c r="D12" s="12" t="s">
        <v>202</v>
      </c>
      <c r="E12" s="12" t="s">
        <v>10</v>
      </c>
      <c r="F12" s="12"/>
      <c r="G12" s="12"/>
      <c r="H12" s="64" t="s">
        <v>313</v>
      </c>
    </row>
    <row r="13" spans="1:8" s="5" customFormat="1" ht="15.75" x14ac:dyDescent="0.25">
      <c r="A13" s="48">
        <v>7</v>
      </c>
      <c r="B13" s="59" t="s">
        <v>319</v>
      </c>
      <c r="C13" s="59"/>
      <c r="D13" s="12" t="s">
        <v>10</v>
      </c>
      <c r="E13" s="12" t="s">
        <v>202</v>
      </c>
      <c r="F13" s="12"/>
      <c r="G13" s="12"/>
      <c r="H13" s="65"/>
    </row>
    <row r="14" spans="1:8" s="5" customFormat="1" ht="15.75" x14ac:dyDescent="0.25">
      <c r="A14" s="48">
        <v>8</v>
      </c>
      <c r="B14" s="59" t="s">
        <v>158</v>
      </c>
      <c r="C14" s="59"/>
      <c r="D14" s="12" t="s">
        <v>202</v>
      </c>
      <c r="E14" s="12" t="s">
        <v>10</v>
      </c>
      <c r="F14" s="12"/>
      <c r="G14" s="12"/>
      <c r="H14" s="65"/>
    </row>
    <row r="15" spans="1:8" s="5" customFormat="1" ht="30.6" customHeight="1" x14ac:dyDescent="0.25">
      <c r="A15" s="48">
        <v>9</v>
      </c>
      <c r="B15" s="59" t="s">
        <v>160</v>
      </c>
      <c r="C15" s="59"/>
      <c r="D15" s="12" t="s">
        <v>10</v>
      </c>
      <c r="E15" s="12" t="s">
        <v>202</v>
      </c>
      <c r="F15" s="12"/>
      <c r="G15" s="12"/>
      <c r="H15" s="65"/>
    </row>
    <row r="16" spans="1:8" s="5" customFormat="1" ht="34.5" customHeight="1" x14ac:dyDescent="0.25">
      <c r="A16" s="48">
        <v>10</v>
      </c>
      <c r="B16" s="59" t="s">
        <v>14</v>
      </c>
      <c r="C16" s="59"/>
      <c r="D16" s="12" t="s">
        <v>10</v>
      </c>
      <c r="E16" s="12" t="s">
        <v>15</v>
      </c>
      <c r="F16" s="12"/>
      <c r="G16" s="12"/>
      <c r="H16" s="65"/>
    </row>
    <row r="17" spans="1:8" s="5" customFormat="1" ht="34.5" customHeight="1" x14ac:dyDescent="0.25">
      <c r="A17" s="48">
        <v>11</v>
      </c>
      <c r="B17" s="59" t="s">
        <v>167</v>
      </c>
      <c r="C17" s="59"/>
      <c r="D17" s="12" t="s">
        <v>10</v>
      </c>
      <c r="E17" s="12" t="s">
        <v>15</v>
      </c>
      <c r="F17" s="12"/>
      <c r="G17" s="12"/>
      <c r="H17" s="65"/>
    </row>
    <row r="18" spans="1:8" s="5" customFormat="1" ht="30.6" customHeight="1" x14ac:dyDescent="0.25">
      <c r="A18" s="48">
        <v>12</v>
      </c>
      <c r="B18" s="59" t="s">
        <v>19</v>
      </c>
      <c r="C18" s="59"/>
      <c r="D18" s="12" t="s">
        <v>10</v>
      </c>
      <c r="E18" s="12" t="s">
        <v>202</v>
      </c>
      <c r="F18" s="12"/>
      <c r="G18" s="12"/>
      <c r="H18" s="65"/>
    </row>
    <row r="19" spans="1:8" s="5" customFormat="1" ht="36.6" customHeight="1" x14ac:dyDescent="0.25">
      <c r="A19" s="48">
        <v>13</v>
      </c>
      <c r="B19" s="59" t="s">
        <v>314</v>
      </c>
      <c r="C19" s="59"/>
      <c r="D19" s="12" t="s">
        <v>10</v>
      </c>
      <c r="E19" s="12" t="s">
        <v>202</v>
      </c>
      <c r="F19" s="12"/>
      <c r="G19" s="12"/>
      <c r="H19" s="65"/>
    </row>
    <row r="20" spans="1:8" s="5" customFormat="1" ht="36.6" customHeight="1" x14ac:dyDescent="0.25">
      <c r="A20" s="48">
        <v>14</v>
      </c>
      <c r="B20" s="59" t="s">
        <v>315</v>
      </c>
      <c r="C20" s="59"/>
      <c r="D20" s="12" t="s">
        <v>10</v>
      </c>
      <c r="E20" s="12" t="s">
        <v>202</v>
      </c>
      <c r="F20" s="12"/>
      <c r="G20" s="12"/>
      <c r="H20" s="65"/>
    </row>
    <row r="21" spans="1:8" s="5" customFormat="1" ht="30.6" customHeight="1" x14ac:dyDescent="0.25">
      <c r="A21" s="48">
        <v>15</v>
      </c>
      <c r="B21" s="59" t="s">
        <v>22</v>
      </c>
      <c r="C21" s="59"/>
      <c r="D21" s="12" t="s">
        <v>10</v>
      </c>
      <c r="E21" s="12" t="s">
        <v>202</v>
      </c>
      <c r="F21" s="12"/>
      <c r="G21" s="12"/>
      <c r="H21" s="65"/>
    </row>
    <row r="22" spans="1:8" s="5" customFormat="1" ht="36.6" customHeight="1" x14ac:dyDescent="0.25">
      <c r="A22" s="48">
        <v>16</v>
      </c>
      <c r="B22" s="59" t="s">
        <v>25</v>
      </c>
      <c r="C22" s="59"/>
      <c r="D22" s="12" t="s">
        <v>10</v>
      </c>
      <c r="E22" s="12" t="s">
        <v>202</v>
      </c>
      <c r="F22" s="12"/>
      <c r="G22" s="12"/>
      <c r="H22" s="65"/>
    </row>
    <row r="23" spans="1:8" s="5" customFormat="1" ht="36.6" customHeight="1" x14ac:dyDescent="0.25">
      <c r="A23" s="48">
        <v>17</v>
      </c>
      <c r="B23" s="59" t="s">
        <v>171</v>
      </c>
      <c r="C23" s="59"/>
      <c r="D23" s="12" t="s">
        <v>10</v>
      </c>
      <c r="E23" s="12" t="s">
        <v>202</v>
      </c>
      <c r="F23" s="12"/>
      <c r="G23" s="12"/>
      <c r="H23" s="65"/>
    </row>
    <row r="24" spans="1:8" s="5" customFormat="1" ht="31.5" x14ac:dyDescent="0.25">
      <c r="A24" s="48">
        <v>18</v>
      </c>
      <c r="B24" s="59" t="s">
        <v>172</v>
      </c>
      <c r="C24" s="59"/>
      <c r="D24" s="12" t="s">
        <v>10</v>
      </c>
      <c r="E24" s="12" t="s">
        <v>316</v>
      </c>
      <c r="F24" s="12"/>
      <c r="G24" s="12"/>
      <c r="H24" s="65"/>
    </row>
    <row r="25" spans="1:8" s="5" customFormat="1" ht="28.5" customHeight="1" x14ac:dyDescent="0.25">
      <c r="A25" s="48">
        <v>19</v>
      </c>
      <c r="B25" s="59" t="s">
        <v>173</v>
      </c>
      <c r="C25" s="59"/>
      <c r="D25" s="12" t="s">
        <v>10</v>
      </c>
      <c r="E25" s="12" t="s">
        <v>15</v>
      </c>
      <c r="F25" s="12"/>
      <c r="G25" s="12"/>
      <c r="H25" s="65"/>
    </row>
    <row r="26" spans="1:8" s="5" customFormat="1" ht="32.450000000000003" customHeight="1" x14ac:dyDescent="0.25">
      <c r="A26" s="48">
        <v>20</v>
      </c>
      <c r="B26" s="59" t="s">
        <v>174</v>
      </c>
      <c r="C26" s="59"/>
      <c r="D26" s="12" t="s">
        <v>10</v>
      </c>
      <c r="E26" s="12" t="s">
        <v>317</v>
      </c>
      <c r="F26" s="12"/>
      <c r="G26" s="12"/>
      <c r="H26" s="65"/>
    </row>
    <row r="27" spans="1:8" s="5" customFormat="1" ht="32.450000000000003" customHeight="1" x14ac:dyDescent="0.25">
      <c r="A27" s="48">
        <v>21</v>
      </c>
      <c r="B27" s="59" t="s">
        <v>176</v>
      </c>
      <c r="C27" s="59"/>
      <c r="D27" s="12" t="s">
        <v>10</v>
      </c>
      <c r="E27" s="12" t="s">
        <v>202</v>
      </c>
      <c r="F27" s="12"/>
      <c r="G27" s="12"/>
      <c r="H27" s="65"/>
    </row>
    <row r="28" spans="1:8" s="5" customFormat="1" ht="32.450000000000003" customHeight="1" x14ac:dyDescent="0.25">
      <c r="A28" s="48">
        <v>22</v>
      </c>
      <c r="B28" s="59" t="s">
        <v>177</v>
      </c>
      <c r="C28" s="59"/>
      <c r="D28" s="12" t="s">
        <v>10</v>
      </c>
      <c r="E28" s="12" t="s">
        <v>202</v>
      </c>
      <c r="F28" s="12"/>
      <c r="G28" s="12"/>
      <c r="H28" s="65"/>
    </row>
    <row r="29" spans="1:8" s="5" customFormat="1" ht="62.25" customHeight="1" x14ac:dyDescent="0.25">
      <c r="A29" s="48">
        <v>23</v>
      </c>
      <c r="B29" s="59" t="s">
        <v>178</v>
      </c>
      <c r="C29" s="59"/>
      <c r="D29" s="12" t="s">
        <v>10</v>
      </c>
      <c r="E29" s="12" t="s">
        <v>202</v>
      </c>
      <c r="F29" s="12"/>
      <c r="G29" s="12"/>
      <c r="H29" s="101"/>
    </row>
    <row r="30" spans="1:8" s="5" customFormat="1" ht="60" customHeight="1" x14ac:dyDescent="0.25">
      <c r="A30" s="48">
        <v>22</v>
      </c>
      <c r="B30" s="59" t="s">
        <v>186</v>
      </c>
      <c r="C30" s="59"/>
      <c r="D30" s="59"/>
      <c r="E30" s="59"/>
      <c r="F30" s="59"/>
      <c r="G30" s="59"/>
      <c r="H30" s="59"/>
    </row>
  </sheetData>
  <mergeCells count="34">
    <mergeCell ref="B30:H30"/>
    <mergeCell ref="B13:C13"/>
    <mergeCell ref="B14:C14"/>
    <mergeCell ref="H12:H29"/>
    <mergeCell ref="B25:C25"/>
    <mergeCell ref="B26:C26"/>
    <mergeCell ref="B27:C27"/>
    <mergeCell ref="B28:C28"/>
    <mergeCell ref="B29:C29"/>
    <mergeCell ref="B20:C20"/>
    <mergeCell ref="B21:C21"/>
    <mergeCell ref="B22:C22"/>
    <mergeCell ref="B23:C23"/>
    <mergeCell ref="B24:C24"/>
    <mergeCell ref="B12:C12"/>
    <mergeCell ref="B15:C15"/>
    <mergeCell ref="B16:C16"/>
    <mergeCell ref="B17:C17"/>
    <mergeCell ref="B18:C18"/>
    <mergeCell ref="B19:C19"/>
    <mergeCell ref="B7:C7"/>
    <mergeCell ref="D7:E7"/>
    <mergeCell ref="B8:C8"/>
    <mergeCell ref="B9:C9"/>
    <mergeCell ref="B10:C10"/>
    <mergeCell ref="B11:C11"/>
    <mergeCell ref="A2:H2"/>
    <mergeCell ref="B3:H3"/>
    <mergeCell ref="A5:A6"/>
    <mergeCell ref="B5:C6"/>
    <mergeCell ref="D5:E5"/>
    <mergeCell ref="F5:F6"/>
    <mergeCell ref="G5:G6"/>
    <mergeCell ref="H5:H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KDC Ninh Thủy</vt:lpstr>
      <vt:lpstr>KDC Ninh Long</vt:lpstr>
      <vt:lpstr>Đông Bắc Ninh Hòa</vt:lpstr>
      <vt:lpstr>Nam Vân Phong</vt:lpstr>
      <vt:lpstr>Bắc Ninh Hòa</vt:lpstr>
      <vt:lpstr>KCN Ninh Diêm 3</vt:lpstr>
      <vt:lpstr>KCN Ninh Diêm 2</vt:lpstr>
      <vt:lpstr>Mỏ KS</vt:lpstr>
      <vt:lpstr>NOXH Hoàn Cầu</vt:lpstr>
      <vt:lpstr>KĐT Mỹ Á</vt:lpstr>
      <vt:lpstr>KĐT Bắc Hòn Hèo</vt:lpstr>
      <vt:lpstr>KĐT Quốc Anh</vt:lpstr>
      <vt:lpstr>'KDC Ninh Long'!Print_Titles</vt:lpstr>
      <vt:lpstr>'KDC Ninh Thủy'!Print_Titles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HA TUYEN</dc:creator>
  <cp:lastModifiedBy>HOANG HA TUYEN</cp:lastModifiedBy>
  <cp:lastPrinted>2026-03-25T03:09:18Z</cp:lastPrinted>
  <dcterms:created xsi:type="dcterms:W3CDTF">2026-03-10T08:57:10Z</dcterms:created>
  <dcterms:modified xsi:type="dcterms:W3CDTF">2026-04-01T03:42:46Z</dcterms:modified>
</cp:coreProperties>
</file>